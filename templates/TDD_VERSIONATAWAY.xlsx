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idaurre\Desktop\RPA\documentAssistant\templates\"/>
    </mc:Choice>
  </mc:AlternateContent>
  <xr:revisionPtr revIDLastSave="0" documentId="13_ncr:1_{EF4A9202-9308-4DD4-BC21-A8E550D093C6}" xr6:coauthVersionLast="47" xr6:coauthVersionMax="47" xr10:uidLastSave="{00000000-0000-0000-0000-000000000000}"/>
  <bookViews>
    <workbookView xWindow="-120" yWindow="-120" windowWidth="20730" windowHeight="11040" tabRatio="739" activeTab="1" xr2:uid="{00000000-000D-0000-FFFF-FFFF00000000}"/>
  </bookViews>
  <sheets>
    <sheet name="Cover" sheetId="12" r:id="rId1"/>
    <sheet name="Doc Info" sheetId="13" r:id="rId2"/>
    <sheet name="Descripción del proceso" sheetId="22" r:id="rId3"/>
    <sheet name="Escenario 1" sheetId="16" r:id="rId4"/>
    <sheet name="Log 1" sheetId="26" r:id="rId5"/>
    <sheet name="Escenario 2" sheetId="18" r:id="rId6"/>
    <sheet name="Log 2" sheetId="27" r:id="rId7"/>
    <sheet name="Escenario 3" sheetId="23" r:id="rId8"/>
    <sheet name="Log 3" sheetId="28" r:id="rId9"/>
    <sheet name="Escenario 4" sheetId="29" r:id="rId10"/>
    <sheet name="Escenario 5" sheetId="30" r:id="rId11"/>
    <sheet name="CodeReview" sheetId="25" r:id="rId12"/>
  </sheets>
  <externalReferences>
    <externalReference r:id="rId13"/>
  </externalReferences>
  <definedNames>
    <definedName name="_xlnm.Print_Area" localSheetId="1">'Doc Info'!$A$1:$G$18</definedName>
    <definedName name="_xlnm.Print_Area" localSheetId="3">'Escenario 1'!#REF!</definedName>
    <definedName name="_xlnm.Print_Area" localSheetId="5">'Escenario 2'!$A$7:$F$15</definedName>
    <definedName name="_xlnm.Print_Area" localSheetId="7">'Escenario 3'!#REF!</definedName>
    <definedName name="_xlnm.Print_Area" localSheetId="9">'Escenario 4'!#REF!</definedName>
    <definedName name="_xlnm.Print_Area" localSheetId="10">'Escenario 5'!#REF!</definedName>
    <definedName name="_xlnm.Print_Titles" localSheetId="3">'Escenario 1'!#REF!</definedName>
    <definedName name="_xlnm.Print_Titles" localSheetId="5">'Escenario 2'!$7:$7</definedName>
    <definedName name="_xlnm.Print_Titles" localSheetId="7">'Escenario 3'!#REF!</definedName>
    <definedName name="_xlnm.Print_Titles" localSheetId="9">'Escenario 4'!#REF!</definedName>
    <definedName name="_xlnm.Print_Titles" localSheetId="10">'Escenario 5'!#REF!</definedName>
    <definedName name="reviewers" localSheetId="0">#REF!</definedName>
    <definedName name="reviewers" localSheetId="1">#REF!</definedName>
    <definedName name="reviewers">#REF!</definedName>
    <definedName name="reviewers2" localSheetId="0">#REF!</definedName>
    <definedName name="reviewers2" localSheetId="1">#REF!</definedName>
    <definedName name="reviewers2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2" l="1"/>
  <c r="C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mvidaurre</author>
  </authors>
  <commentList>
    <comment ref="A12" authorId="0" shapeId="0" xr:uid="{7DF53559-942D-4CE7-9DA4-22FFF6588BA9}">
      <text>
        <r>
          <rPr>
            <sz val="9"/>
            <color indexed="81"/>
            <rFont val="Tahoma"/>
            <charset val="1"/>
          </rPr>
          <t>beforerow{% for m in modificaciones %}</t>
        </r>
      </text>
    </comment>
    <comment ref="A13" authorId="0" shapeId="0" xr:uid="{065AFD13-88DF-45DA-82BC-98AF4789C552}">
      <text>
        <r>
          <rPr>
            <sz val="9"/>
            <color indexed="81"/>
            <rFont val="Tahoma"/>
            <charset val="1"/>
          </rPr>
          <t>beforerow{% endfor %}</t>
        </r>
      </text>
    </comment>
  </commentList>
</comments>
</file>

<file path=xl/sharedStrings.xml><?xml version="1.0" encoding="utf-8"?>
<sst xmlns="http://schemas.openxmlformats.org/spreadsheetml/2006/main" count="563" uniqueCount="98">
  <si>
    <t>Version:</t>
  </si>
  <si>
    <t>Información de Control del Documento</t>
  </si>
  <si>
    <t>Información del Documento</t>
  </si>
  <si>
    <t>Nombre del Documento</t>
  </si>
  <si>
    <t>Nombre del Cliente</t>
  </si>
  <si>
    <t>Nombre del Proyecto (JIRA)</t>
  </si>
  <si>
    <t>ID del BOT</t>
  </si>
  <si>
    <t>Descripción del BOT</t>
  </si>
  <si>
    <t>Historial de Edición/Revisión del Documento</t>
  </si>
  <si>
    <t>Versión</t>
  </si>
  <si>
    <t>Fecha</t>
  </si>
  <si>
    <t>Adicionales/Modificaciones</t>
  </si>
  <si>
    <t>Preparado/ Revisado por</t>
  </si>
  <si>
    <t>PASSWORD: ATAWAY</t>
  </si>
  <si>
    <t>Inputs del Proceso:</t>
  </si>
  <si>
    <t>Descripción paso a paso del proceso</t>
  </si>
  <si>
    <t>Excepciones</t>
  </si>
  <si>
    <t>Tipo Excepción</t>
  </si>
  <si>
    <r>
      <t>Se planterán</t>
    </r>
    <r>
      <rPr>
        <b/>
        <sz val="11"/>
        <color theme="1"/>
        <rFont val="Abadi Extra Light"/>
        <family val="2"/>
      </rPr>
      <t xml:space="preserve"> Escenarios de Prueba </t>
    </r>
    <r>
      <rPr>
        <sz val="11"/>
        <color theme="1"/>
        <rFont val="Abadi Extra Light"/>
        <family val="2"/>
      </rPr>
      <t xml:space="preserve">con distintos </t>
    </r>
    <r>
      <rPr>
        <b/>
        <sz val="11"/>
        <color theme="1"/>
        <rFont val="Abadi Extra Light"/>
        <family val="2"/>
      </rPr>
      <t>casos</t>
    </r>
    <r>
      <rPr>
        <sz val="11"/>
        <color theme="1"/>
        <rFont val="Abadi Extra Light"/>
        <family val="2"/>
      </rPr>
      <t xml:space="preserve"> dentro (cuando aplique). Todos los casos deben ser testeados para cada paso del proceso, indicando qué es lo esperado y lo que realmente resultó del test en cada uno de los pasos del proceso.</t>
    </r>
  </si>
  <si>
    <t>Escenario 1</t>
  </si>
  <si>
    <t>HAPPY PATH</t>
  </si>
  <si>
    <t>Casos de Prueba</t>
  </si>
  <si>
    <r>
      <rPr>
        <b/>
        <sz val="11"/>
        <color rgb="FF000000"/>
        <rFont val="Calibri"/>
        <family val="2"/>
        <scheme val="minor"/>
      </rPr>
      <t>CASO 1</t>
    </r>
    <r>
      <rPr>
        <sz val="11"/>
        <color rgb="FF000000"/>
        <rFont val="Calibri"/>
        <family val="2"/>
        <scheme val="minor"/>
      </rPr>
      <t xml:space="preserve">
El bot se comporta como lo esperado, completando todos los pasos</t>
    </r>
  </si>
  <si>
    <t>Fecha de ejecución de la prueba</t>
  </si>
  <si>
    <t>Responsable de Ejecutar la Fecha</t>
  </si>
  <si>
    <t>CASO 1: El bot se comporta como lo esperado, completando todos los pasos</t>
  </si>
  <si>
    <t>Pasos del proceso</t>
  </si>
  <si>
    <t>Notas/Datos de Prueba</t>
  </si>
  <si>
    <t>Resultado</t>
  </si>
  <si>
    <t>Comentarios - Team RPA (Completar con datetime de LOG y Email si corresponde)</t>
  </si>
  <si>
    <t>Captura mensaje/notificación/ Mail/Output</t>
  </si>
  <si>
    <t>Escenario 2</t>
  </si>
  <si>
    <t>Captura Mail</t>
  </si>
  <si>
    <t>Escenario 3</t>
  </si>
  <si>
    <t>Negocio</t>
  </si>
  <si>
    <t>N/A</t>
  </si>
  <si>
    <t>[Sofia Gamboggi]</t>
  </si>
  <si>
    <t>Correcto</t>
  </si>
  <si>
    <t>Excel "Titulos_peliculas.xlsx"</t>
  </si>
  <si>
    <t xml:space="preserve">1. Ingresar a la carpeta compartida </t>
  </si>
  <si>
    <t>2. Verificación del documento de excel "Titulos_peliculas.xlsx"</t>
  </si>
  <si>
    <t>3. Ingresar al portal de IMDB</t>
  </si>
  <si>
    <t>4. Ingrear al portal Jotform</t>
  </si>
  <si>
    <t>EXC 0: No hay acceso a la carpeta compartida</t>
  </si>
  <si>
    <t>Exc 1: No Hay archivos input para procesar</t>
  </si>
  <si>
    <t>Exc 2: El excel esta vacío</t>
  </si>
  <si>
    <t>Exc 3: El portar IMDB no funciona</t>
  </si>
  <si>
    <t>5. Recorre el excel y guarda los titulos</t>
  </si>
  <si>
    <t>Exc 4: El portal Jotform no funciona</t>
  </si>
  <si>
    <t>Exc 5: El titulo de la pelicula tiene menos de 4 caracteres</t>
  </si>
  <si>
    <t>6. Busca el titulo de la pelicula en IMDB</t>
  </si>
  <si>
    <t>Exc 6: La pelicula no se encontro</t>
  </si>
  <si>
    <t>Exc 7: La calificación esta fuera de rango</t>
  </si>
  <si>
    <t>7. Captura la calificacion y la guarda</t>
  </si>
  <si>
    <t>8. Carga el formulario con las calificaciones halladas</t>
  </si>
  <si>
    <t>Exc: 8: El titulo del form no esta en la lista</t>
  </si>
  <si>
    <t>Exc 9: El titulo de la pelicula no se encuentra en el form</t>
  </si>
  <si>
    <t>9. Generar informe</t>
  </si>
  <si>
    <t>Técnica</t>
  </si>
  <si>
    <t>-</t>
  </si>
  <si>
    <t xml:space="preserve">Usuario Windows con permisos + Carpera compartida </t>
  </si>
  <si>
    <t>Dirección de Email del área</t>
  </si>
  <si>
    <t>El paso se concretó como lo esperado.</t>
  </si>
  <si>
    <t>Imagen notificacion</t>
  </si>
  <si>
    <t>[26.02.2026]</t>
  </si>
  <si>
    <t>Problemas con la apertura del archivo de input</t>
  </si>
  <si>
    <r>
      <t xml:space="preserve">CASO 1 </t>
    </r>
    <r>
      <rPr>
        <sz val="11"/>
        <color rgb="FF000000"/>
        <rFont val="Calibri"/>
        <family val="2"/>
        <scheme val="minor"/>
      </rPr>
      <t>No hay archivos input para procesar</t>
    </r>
  </si>
  <si>
    <r>
      <t xml:space="preserve">CASO 2 </t>
    </r>
    <r>
      <rPr>
        <sz val="11"/>
        <color rgb="FF000000"/>
        <rFont val="Calibri"/>
        <family val="2"/>
        <scheme val="minor"/>
      </rPr>
      <t>El excel está vacío</t>
    </r>
  </si>
  <si>
    <t>[02.03.2026]</t>
  </si>
  <si>
    <t>[Sofia Gambggi]</t>
  </si>
  <si>
    <t>10. Envío de notificación</t>
  </si>
  <si>
    <t>CASO 1: No hay archivos input para procesar</t>
  </si>
  <si>
    <t>El paso no pudo concetarse; por lo que el resultado de la prueba es correcto.</t>
  </si>
  <si>
    <t>Se omitió el paso</t>
  </si>
  <si>
    <t>CASO 2: El excel esta vacío</t>
  </si>
  <si>
    <t>Problema con el portal IMDB</t>
  </si>
  <si>
    <r>
      <t>CASO 1 Exc 3:</t>
    </r>
    <r>
      <rPr>
        <sz val="11"/>
        <color rgb="FF000000"/>
        <rFont val="Calibri"/>
        <family val="2"/>
        <scheme val="minor"/>
      </rPr>
      <t xml:space="preserve"> El portal IMDB no funciona</t>
    </r>
  </si>
  <si>
    <t>CASO 1: El portal IMDB no funciona</t>
  </si>
  <si>
    <t>Problema con el portal JotForm</t>
  </si>
  <si>
    <t>Problema con el titulo de una pelicula</t>
  </si>
  <si>
    <r>
      <t xml:space="preserve">CASO 1 </t>
    </r>
    <r>
      <rPr>
        <sz val="11"/>
        <color rgb="FF000000"/>
        <rFont val="Calibri"/>
        <family val="2"/>
        <scheme val="minor"/>
      </rPr>
      <t xml:space="preserve"> El titulo de la película tiene menos de 4 caracteres</t>
    </r>
  </si>
  <si>
    <r>
      <t>CASO 2</t>
    </r>
    <r>
      <rPr>
        <sz val="11"/>
        <color rgb="FF000000"/>
        <rFont val="Calibri"/>
        <family val="2"/>
        <scheme val="minor"/>
      </rPr>
      <t xml:space="preserve"> El titulo de la película no se encuentra en IMDB</t>
    </r>
  </si>
  <si>
    <r>
      <t>CASO 2</t>
    </r>
    <r>
      <rPr>
        <sz val="11"/>
        <color rgb="FF000000"/>
        <rFont val="Calibri"/>
        <family val="2"/>
        <scheme val="minor"/>
      </rPr>
      <t xml:space="preserve"> El titulo de una pelicula no se encuentra e el form</t>
    </r>
  </si>
  <si>
    <t>CASO 1: El título de la película tiene menos de 4 caracteres</t>
  </si>
  <si>
    <t>CASO 2: El título de la película no se encuentra en IMDB</t>
  </si>
  <si>
    <t>de este caso falta agregar el codigo ya que no funciona</t>
  </si>
  <si>
    <t>CASO 3: El título de la película no se encuentra en el form</t>
  </si>
  <si>
    <r>
      <t xml:space="preserve">CASO 1 </t>
    </r>
    <r>
      <rPr>
        <sz val="11"/>
        <color rgb="FF000000"/>
        <rFont val="Calibri"/>
        <family val="2"/>
        <scheme val="minor"/>
      </rPr>
      <t>El portal IMDB no funciona</t>
    </r>
  </si>
  <si>
    <t>{{ nombreBot }}</t>
  </si>
  <si>
    <t>{{ codigoBot }}</t>
  </si>
  <si>
    <t>{{ descripcionBot }}</t>
  </si>
  <si>
    <t>{{ cliente }}</t>
  </si>
  <si>
    <t>{{ nombreProyecto }}</t>
  </si>
  <si>
    <t>{{ codigoBot}}</t>
  </si>
  <si>
    <t>{{m.version}}</t>
  </si>
  <si>
    <t>{{m.fecha}}</t>
  </si>
  <si>
    <t>{{m.descripcion}}</t>
  </si>
  <si>
    <t>{{m.autor}}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</si>
</sst>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0.0000000000"/>
    <numFmt numFmtId="166" formatCode="yyyy\-mm\-dd;@"/>
    <numFmt numFmtId="167" formatCode="0.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10"/>
      <name val="MS Sans Serif"/>
      <family val="2"/>
    </font>
    <font>
      <sz val="10"/>
      <color rgb="FF333333"/>
      <name val="Arial"/>
      <family val="2"/>
    </font>
    <font>
      <b/>
      <sz val="10"/>
      <color theme="1"/>
      <name val="Arial"/>
      <family val="2"/>
    </font>
    <font>
      <b/>
      <sz val="9"/>
      <name val="Verdana"/>
      <family val="2"/>
    </font>
    <font>
      <b/>
      <sz val="9"/>
      <color indexed="9"/>
      <name val="Verdana"/>
      <family val="2"/>
    </font>
    <font>
      <sz val="9"/>
      <name val="Verdana"/>
      <family val="2"/>
    </font>
    <font>
      <b/>
      <sz val="9"/>
      <color theme="0"/>
      <name val="Verdana"/>
      <family val="2"/>
    </font>
    <font>
      <sz val="24"/>
      <color theme="9"/>
      <name val="Times New Roman"/>
      <family val="1"/>
    </font>
    <font>
      <sz val="24"/>
      <color theme="0" tint="-0.499984740745262"/>
      <name val="Times New Roman"/>
      <family val="1"/>
    </font>
    <font>
      <sz val="9"/>
      <color theme="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7F7F7F"/>
      <name val="Segoe UI"/>
      <family val="2"/>
    </font>
    <font>
      <sz val="9"/>
      <color rgb="FF7F7F7F"/>
      <name val="Calibri"/>
      <family val="2"/>
      <scheme val="minor"/>
    </font>
    <font>
      <sz val="11"/>
      <color theme="1"/>
      <name val="Abadi Extra Light"/>
      <family val="2"/>
    </font>
    <font>
      <b/>
      <sz val="11"/>
      <color theme="1"/>
      <name val="Abadi Extra Light"/>
      <family val="2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ED7D31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2776"/>
      </left>
      <right/>
      <top style="thin">
        <color rgb="FF002776"/>
      </top>
      <bottom style="thin">
        <color rgb="FF002776"/>
      </bottom>
      <diagonal/>
    </border>
    <border>
      <left/>
      <right style="thin">
        <color rgb="FF002776"/>
      </right>
      <top style="thin">
        <color rgb="FF002776"/>
      </top>
      <bottom style="thin">
        <color rgb="FF002776"/>
      </bottom>
      <diagonal/>
    </border>
    <border>
      <left style="thin">
        <color rgb="FF002776"/>
      </left>
      <right style="thin">
        <color rgb="FF002776"/>
      </right>
      <top style="thin">
        <color rgb="FF002776"/>
      </top>
      <bottom style="thin">
        <color rgb="FF002776"/>
      </bottom>
      <diagonal/>
    </border>
    <border>
      <left/>
      <right/>
      <top style="thin">
        <color rgb="FF002776"/>
      </top>
      <bottom style="thin">
        <color rgb="FF002776"/>
      </bottom>
      <diagonal/>
    </border>
    <border>
      <left style="thin">
        <color rgb="FF002776"/>
      </left>
      <right style="thin">
        <color rgb="FF002776"/>
      </right>
      <top/>
      <bottom style="thin">
        <color rgb="FF002776"/>
      </bottom>
      <diagonal/>
    </border>
    <border>
      <left style="thin">
        <color rgb="FF002776"/>
      </left>
      <right/>
      <top/>
      <bottom style="thin">
        <color rgb="FF002776"/>
      </bottom>
      <diagonal/>
    </border>
    <border>
      <left/>
      <right/>
      <top/>
      <bottom style="thin">
        <color rgb="FF002776"/>
      </bottom>
      <diagonal/>
    </border>
    <border>
      <left/>
      <right style="thin">
        <color rgb="FF002776"/>
      </right>
      <top/>
      <bottom style="thin">
        <color rgb="FF00277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ck">
        <color theme="9"/>
      </bottom>
      <diagonal/>
    </border>
    <border>
      <left/>
      <right/>
      <top/>
      <bottom style="thick">
        <color theme="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 applyNumberFormat="0" applyAlignment="0"/>
    <xf numFmtId="164" fontId="6" fillId="0" borderId="0">
      <alignment horizontal="left"/>
    </xf>
    <xf numFmtId="38" fontId="5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10" fontId="5" fillId="3" borderId="1" applyNumberFormat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>
      <alignment horizontal="center"/>
    </xf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horizontal="left"/>
    </xf>
    <xf numFmtId="0" fontId="18" fillId="6" borderId="0" applyNumberFormat="0" applyBorder="0" applyAlignment="0" applyProtection="0"/>
  </cellStyleXfs>
  <cellXfs count="107">
    <xf numFmtId="0" fontId="0" fillId="0" borderId="0" xfId="0"/>
    <xf numFmtId="0" fontId="1" fillId="0" borderId="0" xfId="2"/>
    <xf numFmtId="0" fontId="3" fillId="0" borderId="0" xfId="2" applyFont="1" applyAlignment="1">
      <alignment horizontal="left" vertical="center" wrapText="1"/>
    </xf>
    <xf numFmtId="0" fontId="1" fillId="0" borderId="0" xfId="5" applyAlignment="1">
      <alignment vertical="top"/>
    </xf>
    <xf numFmtId="0" fontId="4" fillId="0" borderId="0" xfId="2" applyFont="1" applyAlignment="1">
      <alignment vertical="top"/>
    </xf>
    <xf numFmtId="0" fontId="9" fillId="0" borderId="0" xfId="2" applyFont="1"/>
    <xf numFmtId="0" fontId="10" fillId="0" borderId="0" xfId="2" applyFont="1"/>
    <xf numFmtId="0" fontId="1" fillId="0" borderId="0" xfId="2" applyAlignment="1">
      <alignment horizontal="left"/>
    </xf>
    <xf numFmtId="0" fontId="13" fillId="0" borderId="0" xfId="5" applyFont="1" applyAlignment="1">
      <alignment vertical="center"/>
    </xf>
    <xf numFmtId="0" fontId="13" fillId="0" borderId="0" xfId="4" applyFont="1" applyAlignment="1">
      <alignment vertical="center" wrapText="1"/>
    </xf>
    <xf numFmtId="0" fontId="13" fillId="0" borderId="0" xfId="5" applyFont="1" applyAlignment="1">
      <alignment vertical="top"/>
    </xf>
    <xf numFmtId="0" fontId="13" fillId="0" borderId="0" xfId="5" applyFont="1"/>
    <xf numFmtId="0" fontId="11" fillId="0" borderId="0" xfId="4" applyFont="1" applyAlignment="1">
      <alignment vertical="top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left" vertical="center"/>
    </xf>
    <xf numFmtId="0" fontId="13" fillId="0" borderId="0" xfId="4" applyFont="1" applyAlignment="1">
      <alignment horizontal="left" vertical="center" wrapText="1"/>
    </xf>
    <xf numFmtId="1" fontId="1" fillId="0" borderId="0" xfId="2" applyNumberFormat="1"/>
    <xf numFmtId="0" fontId="17" fillId="0" borderId="0" xfId="5" applyFont="1" applyAlignment="1">
      <alignment vertical="top"/>
    </xf>
    <xf numFmtId="0" fontId="16" fillId="0" borderId="0" xfId="2" applyFont="1" applyAlignment="1">
      <alignment horizontal="left"/>
    </xf>
    <xf numFmtId="0" fontId="11" fillId="0" borderId="4" xfId="4" applyFont="1" applyBorder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3" fillId="0" borderId="4" xfId="4" applyFont="1" applyBorder="1" applyAlignment="1">
      <alignment horizontal="left" vertical="center" wrapText="1"/>
    </xf>
    <xf numFmtId="0" fontId="13" fillId="0" borderId="7" xfId="4" applyFont="1" applyBorder="1" applyAlignment="1">
      <alignment horizontal="left" vertical="center" wrapText="1"/>
    </xf>
    <xf numFmtId="0" fontId="13" fillId="0" borderId="5" xfId="4" applyFont="1" applyBorder="1" applyAlignment="1">
      <alignment horizontal="left" vertical="center" wrapText="1"/>
    </xf>
    <xf numFmtId="166" fontId="13" fillId="0" borderId="8" xfId="4" applyNumberFormat="1" applyFont="1" applyBorder="1" applyAlignment="1">
      <alignment vertical="top" wrapText="1"/>
    </xf>
    <xf numFmtId="1" fontId="13" fillId="0" borderId="6" xfId="4" applyNumberFormat="1" applyFont="1" applyBorder="1" applyAlignment="1">
      <alignment vertical="top" wrapText="1"/>
    </xf>
    <xf numFmtId="166" fontId="13" fillId="0" borderId="6" xfId="4" applyNumberFormat="1" applyFont="1" applyBorder="1" applyAlignment="1">
      <alignment vertical="top" wrapText="1"/>
    </xf>
    <xf numFmtId="0" fontId="13" fillId="0" borderId="4" xfId="4" applyFont="1" applyBorder="1" applyAlignment="1">
      <alignment horizontal="left" vertical="center"/>
    </xf>
    <xf numFmtId="0" fontId="12" fillId="5" borderId="0" xfId="4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16" xfId="0" applyFont="1" applyBorder="1" applyAlignment="1">
      <alignment horizontal="justify" vertical="top" wrapText="1"/>
    </xf>
    <xf numFmtId="0" fontId="25" fillId="0" borderId="16" xfId="0" applyFont="1" applyBorder="1" applyAlignment="1">
      <alignment horizontal="justify" vertical="center"/>
    </xf>
    <xf numFmtId="0" fontId="25" fillId="0" borderId="16" xfId="0" applyFont="1" applyBorder="1" applyAlignment="1">
      <alignment horizontal="justify" vertical="center" wrapText="1"/>
    </xf>
    <xf numFmtId="0" fontId="24" fillId="12" borderId="15" xfId="0" applyFont="1" applyFill="1" applyBorder="1" applyAlignment="1">
      <alignment horizontal="center" wrapText="1"/>
    </xf>
    <xf numFmtId="0" fontId="24" fillId="12" borderId="14" xfId="0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center" vertical="center"/>
    </xf>
    <xf numFmtId="0" fontId="27" fillId="0" borderId="17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/>
    </xf>
    <xf numFmtId="0" fontId="19" fillId="13" borderId="13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wrapText="1"/>
    </xf>
    <xf numFmtId="0" fontId="19" fillId="7" borderId="2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9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left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0" fillId="0" borderId="18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justify" vertical="top" wrapText="1"/>
    </xf>
    <xf numFmtId="0" fontId="27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/>
    </xf>
    <xf numFmtId="0" fontId="26" fillId="0" borderId="1" xfId="0" applyFont="1" applyBorder="1" applyAlignment="1">
      <alignment horizontal="justify" vertical="center" wrapText="1"/>
    </xf>
    <xf numFmtId="0" fontId="25" fillId="0" borderId="1" xfId="0" applyFont="1" applyBorder="1" applyAlignment="1">
      <alignment horizontal="justify" vertical="center" wrapText="1"/>
    </xf>
    <xf numFmtId="0" fontId="27" fillId="0" borderId="24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top" wrapText="1"/>
    </xf>
    <xf numFmtId="0" fontId="0" fillId="0" borderId="24" xfId="0" applyBorder="1" applyAlignment="1">
      <alignment horizontal="center" vertical="center"/>
    </xf>
    <xf numFmtId="0" fontId="21" fillId="13" borderId="28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wrapText="1"/>
    </xf>
    <xf numFmtId="0" fontId="0" fillId="0" borderId="29" xfId="0" applyBorder="1" applyAlignment="1">
      <alignment wrapText="1"/>
    </xf>
    <xf numFmtId="0" fontId="25" fillId="0" borderId="16" xfId="0" applyFont="1" applyBorder="1" applyAlignment="1">
      <alignment horizontal="left" vertical="top" wrapText="1"/>
    </xf>
    <xf numFmtId="0" fontId="21" fillId="14" borderId="12" xfId="0" applyFont="1" applyFill="1" applyBorder="1" applyAlignment="1">
      <alignment horizontal="center" wrapText="1"/>
    </xf>
    <xf numFmtId="0" fontId="30" fillId="0" borderId="30" xfId="0" applyFont="1" applyBorder="1" applyAlignment="1">
      <alignment horizontal="left" vertical="center" wrapText="1"/>
    </xf>
    <xf numFmtId="0" fontId="30" fillId="0" borderId="31" xfId="0" applyFont="1" applyBorder="1" applyAlignment="1">
      <alignment horizontal="left" vertical="center" wrapText="1"/>
    </xf>
    <xf numFmtId="0" fontId="30" fillId="0" borderId="2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167" fontId="13" fillId="0" borderId="8" xfId="4" applyNumberFormat="1" applyFont="1" applyBorder="1" applyAlignment="1">
      <alignment vertical="top" wrapText="1"/>
    </xf>
    <xf numFmtId="0" fontId="12" fillId="5" borderId="0" xfId="4" applyFont="1" applyFill="1" applyAlignment="1">
      <alignment horizontal="left" vertical="center" wrapText="1"/>
    </xf>
    <xf numFmtId="0" fontId="13" fillId="0" borderId="9" xfId="4" applyFont="1" applyBorder="1" applyAlignment="1">
      <alignment vertical="top" wrapText="1"/>
    </xf>
    <xf numFmtId="0" fontId="13" fillId="0" borderId="10" xfId="4" applyFont="1" applyBorder="1" applyAlignment="1">
      <alignment vertical="top" wrapText="1"/>
    </xf>
    <xf numFmtId="0" fontId="13" fillId="0" borderId="11" xfId="4" applyFont="1" applyBorder="1" applyAlignment="1">
      <alignment vertical="top" wrapText="1"/>
    </xf>
    <xf numFmtId="0" fontId="13" fillId="0" borderId="8" xfId="5" applyFont="1" applyBorder="1" applyAlignment="1">
      <alignment vertical="top" wrapText="1"/>
    </xf>
    <xf numFmtId="0" fontId="13" fillId="0" borderId="6" xfId="5" applyFont="1" applyBorder="1" applyAlignment="1">
      <alignment vertical="top" wrapText="1"/>
    </xf>
    <xf numFmtId="0" fontId="13" fillId="0" borderId="6" xfId="4" applyFont="1" applyBorder="1" applyAlignment="1">
      <alignment vertical="top" wrapText="1"/>
    </xf>
    <xf numFmtId="0" fontId="11" fillId="0" borderId="0" xfId="4" applyFont="1" applyAlignment="1">
      <alignment horizontal="left" vertical="center"/>
    </xf>
    <xf numFmtId="0" fontId="14" fillId="4" borderId="0" xfId="4" applyFont="1" applyFill="1" applyAlignment="1">
      <alignment horizontal="left" vertical="center"/>
    </xf>
    <xf numFmtId="0" fontId="13" fillId="0" borderId="6" xfId="4" applyFont="1" applyBorder="1" applyAlignment="1">
      <alignment horizontal="left" vertical="center" wrapText="1"/>
    </xf>
    <xf numFmtId="0" fontId="11" fillId="0" borderId="4" xfId="4" applyFont="1" applyBorder="1" applyAlignment="1">
      <alignment horizontal="left" vertical="center"/>
    </xf>
    <xf numFmtId="0" fontId="11" fillId="0" borderId="5" xfId="4" applyFont="1" applyBorder="1" applyAlignment="1">
      <alignment horizontal="left" vertical="center"/>
    </xf>
    <xf numFmtId="0" fontId="11" fillId="0" borderId="4" xfId="4" applyFont="1" applyBorder="1" applyAlignment="1">
      <alignment vertical="center"/>
    </xf>
    <xf numFmtId="0" fontId="11" fillId="0" borderId="5" xfId="4" applyFont="1" applyBorder="1" applyAlignment="1">
      <alignment vertical="center"/>
    </xf>
    <xf numFmtId="0" fontId="15" fillId="0" borderId="0" xfId="2" applyFont="1"/>
    <xf numFmtId="0" fontId="16" fillId="0" borderId="0" xfId="2" applyFont="1" applyAlignment="1">
      <alignment horizontal="left"/>
    </xf>
    <xf numFmtId="0" fontId="28" fillId="10" borderId="0" xfId="0" applyFont="1" applyFill="1" applyAlignment="1">
      <alignment horizontal="left" wrapText="1"/>
    </xf>
    <xf numFmtId="0" fontId="25" fillId="0" borderId="25" xfId="0" applyFont="1" applyBorder="1" applyAlignment="1">
      <alignment horizontal="left" vertical="top" wrapText="1"/>
    </xf>
    <xf numFmtId="0" fontId="25" fillId="0" borderId="26" xfId="0" applyFont="1" applyBorder="1" applyAlignment="1">
      <alignment horizontal="left" vertical="top" wrapText="1"/>
    </xf>
    <xf numFmtId="0" fontId="25" fillId="0" borderId="27" xfId="0" applyFont="1" applyBorder="1" applyAlignment="1">
      <alignment horizontal="left" vertical="top"/>
    </xf>
    <xf numFmtId="0" fontId="25" fillId="0" borderId="24" xfId="0" applyFont="1" applyBorder="1" applyAlignment="1">
      <alignment horizontal="left" vertical="top"/>
    </xf>
    <xf numFmtId="0" fontId="31" fillId="7" borderId="19" xfId="0" applyFont="1" applyFill="1" applyBorder="1" applyAlignment="1">
      <alignment horizontal="left" vertical="center" wrapText="1"/>
    </xf>
    <xf numFmtId="0" fontId="31" fillId="7" borderId="2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1">
    <cellStyle name="%" xfId="7" xr:uid="{00000000-0005-0000-0000-000000000000}"/>
    <cellStyle name="60% - Énfasis2 2" xfId="40" xr:uid="{00000000-0005-0000-0000-000001000000}"/>
    <cellStyle name="active" xfId="8" xr:uid="{00000000-0005-0000-0000-000002000000}"/>
    <cellStyle name="date" xfId="9" xr:uid="{00000000-0005-0000-0000-000003000000}"/>
    <cellStyle name="Grey" xfId="10" xr:uid="{00000000-0005-0000-0000-000004000000}"/>
    <cellStyle name="Header1" xfId="11" xr:uid="{00000000-0005-0000-0000-000005000000}"/>
    <cellStyle name="Header2" xfId="12" xr:uid="{00000000-0005-0000-0000-000006000000}"/>
    <cellStyle name="Hyperlink 2" xfId="6" xr:uid="{00000000-0005-0000-0000-000007000000}"/>
    <cellStyle name="Input [yellow]" xfId="13" xr:uid="{00000000-0005-0000-0000-000008000000}"/>
    <cellStyle name="Normal" xfId="0" builtinId="0"/>
    <cellStyle name="Normal - Style1" xfId="14" xr:uid="{00000000-0005-0000-0000-00000A000000}"/>
    <cellStyle name="Normal - Style1 2" xfId="15" xr:uid="{00000000-0005-0000-0000-00000B000000}"/>
    <cellStyle name="Normal - Style1 3" xfId="16" xr:uid="{00000000-0005-0000-0000-00000C000000}"/>
    <cellStyle name="Normal - Style1 4" xfId="17" xr:uid="{00000000-0005-0000-0000-00000D000000}"/>
    <cellStyle name="Normal - Style1 5" xfId="18" xr:uid="{00000000-0005-0000-0000-00000E000000}"/>
    <cellStyle name="Normal - Style1 6" xfId="19" xr:uid="{00000000-0005-0000-0000-00000F000000}"/>
    <cellStyle name="Normal - Style1 7" xfId="20" xr:uid="{00000000-0005-0000-0000-000010000000}"/>
    <cellStyle name="Normal - Style1 8" xfId="21" xr:uid="{00000000-0005-0000-0000-000011000000}"/>
    <cellStyle name="Normal - Style1 9" xfId="22" xr:uid="{00000000-0005-0000-0000-000012000000}"/>
    <cellStyle name="Normal 10" xfId="4" xr:uid="{00000000-0005-0000-0000-000013000000}"/>
    <cellStyle name="Normal 2" xfId="2" xr:uid="{00000000-0005-0000-0000-000014000000}"/>
    <cellStyle name="Normal 2 2" xfId="3" xr:uid="{00000000-0005-0000-0000-000015000000}"/>
    <cellStyle name="Normal 3" xfId="1" xr:uid="{00000000-0005-0000-0000-000016000000}"/>
    <cellStyle name="Normal 3 2" xfId="23" xr:uid="{00000000-0005-0000-0000-000017000000}"/>
    <cellStyle name="Normal 3 3" xfId="24" xr:uid="{00000000-0005-0000-0000-000018000000}"/>
    <cellStyle name="Normal 4" xfId="25" xr:uid="{00000000-0005-0000-0000-000019000000}"/>
    <cellStyle name="Normal 4 2" xfId="26" xr:uid="{00000000-0005-0000-0000-00001A000000}"/>
    <cellStyle name="Normal 4 3" xfId="27" xr:uid="{00000000-0005-0000-0000-00001B000000}"/>
    <cellStyle name="Normal 5" xfId="28" xr:uid="{00000000-0005-0000-0000-00001C000000}"/>
    <cellStyle name="Normal_SHEET" xfId="5" xr:uid="{00000000-0005-0000-0000-00001D000000}"/>
    <cellStyle name="nr_label" xfId="29" xr:uid="{00000000-0005-0000-0000-00001E000000}"/>
    <cellStyle name="Percent [2]" xfId="30" xr:uid="{00000000-0005-0000-0000-00001F000000}"/>
    <cellStyle name="Percent [2] 2" xfId="31" xr:uid="{00000000-0005-0000-0000-000020000000}"/>
    <cellStyle name="Percent [2] 3" xfId="32" xr:uid="{00000000-0005-0000-0000-000021000000}"/>
    <cellStyle name="Percent [2] 4" xfId="33" xr:uid="{00000000-0005-0000-0000-000022000000}"/>
    <cellStyle name="Percent [2] 5" xfId="34" xr:uid="{00000000-0005-0000-0000-000023000000}"/>
    <cellStyle name="Percent [2] 6" xfId="35" xr:uid="{00000000-0005-0000-0000-000024000000}"/>
    <cellStyle name="Percent [2] 7" xfId="36" xr:uid="{00000000-0005-0000-0000-000025000000}"/>
    <cellStyle name="Percent [2] 8" xfId="37" xr:uid="{00000000-0005-0000-0000-000026000000}"/>
    <cellStyle name="Percent [2] 9" xfId="38" xr:uid="{00000000-0005-0000-0000-000027000000}"/>
    <cellStyle name="PSChar" xfId="39" xr:uid="{00000000-0005-0000-0000-000028000000}"/>
  </cellStyles>
  <dxfs count="24"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CC0000"/>
        </patternFill>
      </fill>
    </dxf>
  </dxfs>
  <tableStyles count="0" defaultTableStyle="TableStyleMedium9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15</xdr:row>
      <xdr:rowOff>304800</xdr:rowOff>
    </xdr:from>
    <xdr:to>
      <xdr:col>7</xdr:col>
      <xdr:colOff>2819400</xdr:colOff>
      <xdr:row>23</xdr:row>
      <xdr:rowOff>121521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8A35A-D48B-8DD3-244E-A8D4626E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4275" y="6534150"/>
          <a:ext cx="3581400" cy="1721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50131</xdr:colOff>
      <xdr:row>7</xdr:row>
      <xdr:rowOff>170448</xdr:rowOff>
    </xdr:from>
    <xdr:to>
      <xdr:col>6</xdr:col>
      <xdr:colOff>5927876</xdr:colOff>
      <xdr:row>16</xdr:row>
      <xdr:rowOff>104109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BAA2C9-AA28-24F5-A1DA-C9C261ECB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4684" y="5735053"/>
          <a:ext cx="5877745" cy="2410161"/>
        </a:xfrm>
        <a:prstGeom prst="rect">
          <a:avLst/>
        </a:prstGeom>
      </xdr:spPr>
    </xdr:pic>
    <xdr:clientData/>
  </xdr:twoCellAnchor>
  <xdr:twoCellAnchor editAs="oneCell">
    <xdr:from>
      <xdr:col>6</xdr:col>
      <xdr:colOff>130342</xdr:colOff>
      <xdr:row>24</xdr:row>
      <xdr:rowOff>30079</xdr:rowOff>
    </xdr:from>
    <xdr:to>
      <xdr:col>6</xdr:col>
      <xdr:colOff>6293877</xdr:colOff>
      <xdr:row>36</xdr:row>
      <xdr:rowOff>125688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1F0D9-D89F-F5E1-FFB1-57E37DEC3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94895" y="10617868"/>
          <a:ext cx="6163535" cy="25721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224118</xdr:colOff>
      <xdr:row>7</xdr:row>
      <xdr:rowOff>324970</xdr:rowOff>
    </xdr:from>
    <xdr:to>
      <xdr:col>6</xdr:col>
      <xdr:colOff>6349548</xdr:colOff>
      <xdr:row>18</xdr:row>
      <xdr:rowOff>96737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7FC3F-D526-DA83-516E-06983E7D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4030" y="4728882"/>
          <a:ext cx="6125430" cy="2629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336176</xdr:colOff>
      <xdr:row>8</xdr:row>
      <xdr:rowOff>112058</xdr:rowOff>
    </xdr:from>
    <xdr:to>
      <xdr:col>8</xdr:col>
      <xdr:colOff>532361</xdr:colOff>
      <xdr:row>17</xdr:row>
      <xdr:rowOff>150482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84A78-B22F-749E-37F3-B204962A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6088" y="4392705"/>
          <a:ext cx="8611802" cy="23244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44823</xdr:colOff>
      <xdr:row>3</xdr:row>
      <xdr:rowOff>369793</xdr:rowOff>
    </xdr:from>
    <xdr:to>
      <xdr:col>6</xdr:col>
      <xdr:colOff>5119658</xdr:colOff>
      <xdr:row>17</xdr:row>
      <xdr:rowOff>156882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D8EF1-4452-CFBB-AABE-D008F47AD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4735" y="2655793"/>
          <a:ext cx="5074835" cy="4067736"/>
        </a:xfrm>
        <a:prstGeom prst="rect">
          <a:avLst/>
        </a:prstGeom>
      </xdr:spPr>
    </xdr:pic>
    <xdr:clientData/>
  </xdr:twoCellAnchor>
  <xdr:twoCellAnchor editAs="oneCell">
    <xdr:from>
      <xdr:col>6</xdr:col>
      <xdr:colOff>257734</xdr:colOff>
      <xdr:row>34</xdr:row>
      <xdr:rowOff>201706</xdr:rowOff>
    </xdr:from>
    <xdr:to>
      <xdr:col>6</xdr:col>
      <xdr:colOff>6278374</xdr:colOff>
      <xdr:row>55</xdr:row>
      <xdr:rowOff>154187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B9C07D-6060-CC52-BBEC-6E67BA735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46" y="11026588"/>
          <a:ext cx="6020640" cy="47822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idaurre\Desktop\RPA\documentAssistant\templates\TDD_VERSION_MIA.xlsx" TargetMode="External"/><Relationship Id="rId1" Type="http://schemas.openxmlformats.org/officeDocument/2006/relationships/externalLinkPath" Target="TDD_VERSION_M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oc Info"/>
    </sheetNames>
    <sheetDataSet>
      <sheetData sheetId="0">
        <row r="16">
          <cell r="D16" t="e">
            <v>#REF!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J19"/>
  <sheetViews>
    <sheetView showGridLines="0" zoomScaleNormal="100" zoomScalePageLayoutView="80" workbookViewId="0">
      <selection activeCell="B12" sqref="B12"/>
    </sheetView>
  </sheetViews>
  <sheetFormatPr defaultColWidth="9.140625" defaultRowHeight="12.75"/>
  <cols>
    <col min="1" max="9" width="9.140625" style="1"/>
    <col min="10" max="10" width="21.7109375" style="1" customWidth="1"/>
    <col min="11" max="16384" width="9.140625" style="1"/>
  </cols>
  <sheetData>
    <row r="5" spans="2:10" s="3" customFormat="1" ht="11.25" customHeight="1">
      <c r="B5" s="2"/>
      <c r="C5" s="2"/>
      <c r="D5" s="2"/>
      <c r="E5" s="2"/>
      <c r="F5" s="2"/>
      <c r="G5" s="2"/>
      <c r="I5" s="4"/>
    </row>
    <row r="13" spans="2:10" ht="30.75">
      <c r="C13" s="97" t="s">
        <v>88</v>
      </c>
      <c r="D13" s="97"/>
      <c r="E13" s="97"/>
      <c r="F13" s="97"/>
      <c r="G13" s="97"/>
      <c r="H13" s="97"/>
      <c r="I13" s="97"/>
      <c r="J13" s="97"/>
    </row>
    <row r="14" spans="2:10" ht="30.75">
      <c r="C14" s="98" t="s">
        <v>89</v>
      </c>
      <c r="D14" s="98"/>
      <c r="E14" s="98"/>
      <c r="F14" s="98"/>
      <c r="G14" s="98"/>
      <c r="H14" s="98"/>
      <c r="I14" s="98"/>
      <c r="J14" s="98"/>
    </row>
    <row r="15" spans="2:10" ht="30.75">
      <c r="C15" s="18" t="s">
        <v>90</v>
      </c>
      <c r="D15" s="18"/>
      <c r="E15" s="18"/>
      <c r="F15" s="18"/>
      <c r="G15" s="18"/>
      <c r="H15" s="18"/>
      <c r="I15" s="18"/>
      <c r="J15" s="18"/>
    </row>
    <row r="16" spans="2:10">
      <c r="C16" s="5"/>
    </row>
    <row r="17" spans="2:4">
      <c r="C17" s="6" t="s">
        <v>0</v>
      </c>
      <c r="D17" s="16" t="e">
        <f>[1]Cover!$D$16=MAX('Doc Info'!A:A)</f>
        <v>#REF!</v>
      </c>
    </row>
    <row r="19" spans="2:4">
      <c r="B19" s="7"/>
      <c r="C19" s="7"/>
      <c r="D19" s="7"/>
    </row>
  </sheetData>
  <mergeCells count="2">
    <mergeCell ref="C13:J13"/>
    <mergeCell ref="C14:J14"/>
  </mergeCells>
  <pageMargins left="0.74803149606299213" right="0.74803149606299213" top="0.98425196850393704" bottom="0.98425196850393704" header="0.51181102362204722" footer="0.51181102362204722"/>
  <pageSetup fitToHeight="99" orientation="landscape" r:id="rId1"/>
  <headerFooter alignWithMargins="0">
    <oddHeader>&amp;L&amp;"Arial,Negrita"&amp;G&amp;R&lt;Insert client logo&gt;</oddHeader>
    <oddFooter>&amp;L&amp;8Ataway&amp;C&amp;8&amp;P of &amp;N&amp;R&amp;8&amp;F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21"/>
  <sheetViews>
    <sheetView showGridLines="0" tabSelected="1" zoomScaleNormal="100" workbookViewId="0">
      <selection activeCell="C8" sqref="C8:E8"/>
    </sheetView>
  </sheetViews>
  <sheetFormatPr defaultColWidth="9.140625" defaultRowHeight="11.25"/>
  <cols>
    <col min="1" max="1" width="13.7109375" style="10" customWidth="1"/>
    <col min="2" max="2" width="15.140625" style="10" customWidth="1"/>
    <col min="3" max="3" width="27.42578125" style="10" customWidth="1"/>
    <col min="4" max="4" width="9.28515625" style="10" customWidth="1"/>
    <col min="5" max="5" width="14" style="10" customWidth="1"/>
    <col min="6" max="6" width="11.7109375" style="10" customWidth="1"/>
    <col min="7" max="7" width="28.140625" style="10" customWidth="1"/>
    <col min="8" max="16384" width="9.140625" style="10"/>
  </cols>
  <sheetData>
    <row r="2" spans="1:11" s="8" customFormat="1" ht="19.5" customHeight="1">
      <c r="A2" s="91" t="s">
        <v>1</v>
      </c>
      <c r="B2" s="91"/>
      <c r="C2" s="91"/>
      <c r="D2" s="91"/>
      <c r="E2" s="91"/>
      <c r="F2" s="91"/>
      <c r="G2" s="91"/>
    </row>
    <row r="3" spans="1:11" s="8" customFormat="1" ht="25.5" customHeight="1">
      <c r="A3" s="14" t="s">
        <v>2</v>
      </c>
      <c r="B3" s="14"/>
      <c r="C3" s="14"/>
      <c r="D3" s="14"/>
      <c r="E3" s="14"/>
      <c r="F3" s="14"/>
      <c r="G3" s="14"/>
    </row>
    <row r="4" spans="1:11" ht="16.5" customHeight="1">
      <c r="A4" s="19" t="s">
        <v>3</v>
      </c>
      <c r="B4" s="20"/>
      <c r="C4" s="92" t="str">
        <f ca="1">MID(CELL("filename"),FIND("[",CELL("filename"))+1,FIND("]",CELL("filename"))-FIND("[",CELL("filename"))-1)</f>
        <v>TDD_VERSION_MIA.xlsx</v>
      </c>
      <c r="D4" s="92"/>
      <c r="E4" s="92"/>
      <c r="F4" s="9"/>
      <c r="G4" s="9"/>
      <c r="H4" s="9"/>
      <c r="I4" s="8"/>
    </row>
    <row r="5" spans="1:11" ht="16.5" customHeight="1">
      <c r="A5" s="93" t="s">
        <v>4</v>
      </c>
      <c r="B5" s="94"/>
      <c r="C5" s="21" t="s">
        <v>91</v>
      </c>
      <c r="D5" s="22"/>
      <c r="E5" s="23"/>
      <c r="F5" s="9"/>
      <c r="G5" s="9"/>
      <c r="H5" s="9"/>
      <c r="I5" s="8"/>
    </row>
    <row r="6" spans="1:11" ht="16.5" customHeight="1">
      <c r="A6" s="95" t="s">
        <v>5</v>
      </c>
      <c r="B6" s="96"/>
      <c r="C6" s="27" t="s">
        <v>92</v>
      </c>
      <c r="D6" s="22"/>
      <c r="E6" s="23"/>
      <c r="F6" s="9"/>
      <c r="G6" s="9"/>
      <c r="H6" s="9"/>
      <c r="I6" s="8"/>
    </row>
    <row r="7" spans="1:11" ht="23.25" customHeight="1">
      <c r="A7" s="93" t="s">
        <v>6</v>
      </c>
      <c r="B7" s="94"/>
      <c r="C7" s="92" t="s">
        <v>93</v>
      </c>
      <c r="D7" s="92"/>
      <c r="E7" s="92"/>
      <c r="F7" s="9"/>
      <c r="G7" s="9"/>
      <c r="H7" s="9"/>
      <c r="I7" s="8"/>
    </row>
    <row r="8" spans="1:11" ht="89.25" customHeight="1">
      <c r="A8" s="93" t="s">
        <v>7</v>
      </c>
      <c r="B8" s="94"/>
      <c r="C8" s="92" t="s">
        <v>90</v>
      </c>
      <c r="D8" s="92"/>
      <c r="E8" s="92"/>
      <c r="F8" s="9"/>
      <c r="G8" s="9"/>
      <c r="H8" s="9"/>
      <c r="I8" s="8"/>
    </row>
    <row r="9" spans="1:11" ht="16.5" customHeight="1">
      <c r="A9" s="14"/>
      <c r="B9" s="14"/>
      <c r="C9" s="15"/>
      <c r="D9" s="15"/>
      <c r="E9" s="15"/>
      <c r="F9" s="9"/>
      <c r="G9" s="9"/>
      <c r="H9" s="9"/>
      <c r="I9" s="8"/>
    </row>
    <row r="10" spans="1:11" s="11" customFormat="1" ht="25.5" customHeight="1">
      <c r="A10" s="90" t="s">
        <v>8</v>
      </c>
      <c r="B10" s="90"/>
      <c r="C10" s="90"/>
      <c r="D10" s="90"/>
      <c r="E10" s="90"/>
      <c r="F10" s="90"/>
      <c r="I10" s="8"/>
    </row>
    <row r="11" spans="1:11" ht="11.25" customHeight="1">
      <c r="A11" s="28" t="s">
        <v>9</v>
      </c>
      <c r="B11" s="28" t="s">
        <v>10</v>
      </c>
      <c r="C11" s="83" t="s">
        <v>11</v>
      </c>
      <c r="D11" s="83"/>
      <c r="E11" s="83"/>
      <c r="F11" s="83" t="s">
        <v>12</v>
      </c>
      <c r="G11" s="83"/>
      <c r="I11" s="8"/>
      <c r="K11" s="12"/>
    </row>
    <row r="12" spans="1:11" ht="11.25" customHeight="1">
      <c r="A12" s="82" t="s">
        <v>94</v>
      </c>
      <c r="B12" s="24" t="s">
        <v>95</v>
      </c>
      <c r="C12" s="84" t="s">
        <v>96</v>
      </c>
      <c r="D12" s="85"/>
      <c r="E12" s="86"/>
      <c r="F12" s="87" t="s">
        <v>97</v>
      </c>
      <c r="G12" s="87"/>
      <c r="K12" s="13"/>
    </row>
    <row r="13" spans="1:11">
      <c r="A13" s="25"/>
      <c r="B13" s="26"/>
      <c r="C13" s="89"/>
      <c r="D13" s="89"/>
      <c r="E13" s="89"/>
      <c r="F13" s="88"/>
      <c r="G13" s="88"/>
    </row>
    <row r="21" spans="1:1">
      <c r="A21" s="17" t="s">
        <v>13</v>
      </c>
    </row>
  </sheetData>
  <mergeCells count="15">
    <mergeCell ref="A10:F10"/>
    <mergeCell ref="A2:G2"/>
    <mergeCell ref="C4:E4"/>
    <mergeCell ref="A5:B5"/>
    <mergeCell ref="A6:B6"/>
    <mergeCell ref="A7:B7"/>
    <mergeCell ref="C7:E7"/>
    <mergeCell ref="A8:B8"/>
    <mergeCell ref="C8:E8"/>
    <mergeCell ref="C11:E11"/>
    <mergeCell ref="F11:G11"/>
    <mergeCell ref="C12:E12"/>
    <mergeCell ref="F12:G12"/>
    <mergeCell ref="F13:G13"/>
    <mergeCell ref="C13:E13"/>
  </mergeCells>
  <pageMargins left="0.74803149606299213" right="0.74803149606299213" top="0.98425196850393704" bottom="0.98425196850393704" header="0.51181102362204722" footer="0.51181102362204722"/>
  <pageSetup scale="99" orientation="landscape" r:id="rId1"/>
  <headerFooter alignWithMargins="0">
    <oddHeader>&amp;L&amp;"Arial,Regular"&amp;G&amp;C&amp;F&amp;R&lt;Insert client logo&gt;</oddHeader>
    <oddFooter>&amp;L&amp;8Ataway&amp;C&amp;8&amp;P of &amp;N&amp;R&amp;8&amp;F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19"/>
  <sheetViews>
    <sheetView zoomScale="93" workbookViewId="0">
      <selection activeCell="B15" sqref="B15"/>
    </sheetView>
  </sheetViews>
  <sheetFormatPr defaultColWidth="11.42578125" defaultRowHeight="15"/>
  <cols>
    <col min="1" max="1" width="117.140625" customWidth="1"/>
    <col min="2" max="2" width="67.7109375" customWidth="1"/>
  </cols>
  <sheetData>
    <row r="1" spans="1:3">
      <c r="A1" s="36" t="s">
        <v>14</v>
      </c>
    </row>
    <row r="2" spans="1:3">
      <c r="A2" t="s">
        <v>38</v>
      </c>
    </row>
    <row r="3" spans="1:3">
      <c r="A3" s="29"/>
    </row>
    <row r="5" spans="1:3" ht="15.75" thickBot="1"/>
    <row r="6" spans="1:3" ht="30">
      <c r="A6" s="41" t="s">
        <v>15</v>
      </c>
      <c r="B6" s="42" t="s">
        <v>16</v>
      </c>
      <c r="C6" s="40" t="s">
        <v>17</v>
      </c>
    </row>
    <row r="7" spans="1:3">
      <c r="A7" s="37" t="s">
        <v>39</v>
      </c>
      <c r="B7" s="43" t="s">
        <v>43</v>
      </c>
      <c r="C7" s="44" t="s">
        <v>58</v>
      </c>
    </row>
    <row r="8" spans="1:3">
      <c r="A8" s="100" t="s">
        <v>40</v>
      </c>
      <c r="B8" s="43" t="s">
        <v>44</v>
      </c>
      <c r="C8" s="44" t="s">
        <v>34</v>
      </c>
    </row>
    <row r="9" spans="1:3">
      <c r="A9" s="101"/>
      <c r="B9" s="63" t="s">
        <v>45</v>
      </c>
      <c r="C9" s="44" t="s">
        <v>34</v>
      </c>
    </row>
    <row r="10" spans="1:3">
      <c r="A10" s="62" t="s">
        <v>41</v>
      </c>
      <c r="B10" s="63" t="s">
        <v>46</v>
      </c>
      <c r="C10" s="44" t="s">
        <v>58</v>
      </c>
    </row>
    <row r="11" spans="1:3">
      <c r="A11" s="62" t="s">
        <v>42</v>
      </c>
      <c r="B11" s="68" t="s">
        <v>48</v>
      </c>
      <c r="C11" s="44" t="s">
        <v>58</v>
      </c>
    </row>
    <row r="12" spans="1:3">
      <c r="A12" s="69" t="s">
        <v>47</v>
      </c>
      <c r="B12" s="67" t="s">
        <v>49</v>
      </c>
      <c r="C12" s="70" t="s">
        <v>34</v>
      </c>
    </row>
    <row r="13" spans="1:3">
      <c r="A13" s="69" t="s">
        <v>50</v>
      </c>
      <c r="B13" s="67" t="s">
        <v>51</v>
      </c>
      <c r="C13" s="70" t="s">
        <v>34</v>
      </c>
    </row>
    <row r="14" spans="1:3">
      <c r="A14" s="64" t="s">
        <v>53</v>
      </c>
      <c r="B14" s="65" t="s">
        <v>52</v>
      </c>
      <c r="C14" s="44" t="s">
        <v>34</v>
      </c>
    </row>
    <row r="15" spans="1:3">
      <c r="A15" s="102" t="s">
        <v>54</v>
      </c>
      <c r="B15" s="65" t="s">
        <v>55</v>
      </c>
      <c r="C15" s="44" t="s">
        <v>34</v>
      </c>
    </row>
    <row r="16" spans="1:3">
      <c r="A16" s="103"/>
      <c r="B16" s="65" t="s">
        <v>56</v>
      </c>
      <c r="C16" s="44" t="s">
        <v>34</v>
      </c>
    </row>
    <row r="17" spans="1:3">
      <c r="A17" s="66" t="s">
        <v>57</v>
      </c>
      <c r="B17" s="65" t="s">
        <v>35</v>
      </c>
      <c r="C17" s="44" t="s">
        <v>59</v>
      </c>
    </row>
    <row r="18" spans="1:3">
      <c r="A18" s="64" t="s">
        <v>70</v>
      </c>
      <c r="B18" s="65" t="s">
        <v>35</v>
      </c>
      <c r="C18" s="44" t="s">
        <v>59</v>
      </c>
    </row>
    <row r="19" spans="1:3" ht="33" customHeight="1">
      <c r="A19" s="99" t="s">
        <v>18</v>
      </c>
      <c r="B19" s="99"/>
    </row>
  </sheetData>
  <mergeCells count="3">
    <mergeCell ref="A19:B19"/>
    <mergeCell ref="A8:A9"/>
    <mergeCell ref="A15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4"/>
  <sheetViews>
    <sheetView showGridLines="0" zoomScaleNormal="100" workbookViewId="0">
      <selection activeCell="C4" sqref="C4"/>
    </sheetView>
  </sheetViews>
  <sheetFormatPr defaultColWidth="9.140625" defaultRowHeight="15"/>
  <cols>
    <col min="1" max="1" width="23.7109375" style="29" customWidth="1"/>
    <col min="2" max="2" width="27.28515625" style="29" customWidth="1"/>
    <col min="3" max="3" width="29.42578125" style="32" customWidth="1"/>
    <col min="4" max="5" width="35.42578125" style="29" customWidth="1"/>
    <col min="6" max="6" width="17.7109375" style="29" customWidth="1"/>
    <col min="7" max="7" width="12.5703125" style="29" customWidth="1"/>
    <col min="8" max="8" width="83.42578125" style="29" customWidth="1"/>
    <col min="9" max="9" width="95.5703125" style="33" customWidth="1"/>
    <col min="10" max="10" width="53" style="34" customWidth="1"/>
    <col min="11" max="11" width="117.140625" style="29" customWidth="1"/>
    <col min="12" max="16384" width="9.140625" style="29"/>
  </cols>
  <sheetData>
    <row r="1" spans="1:10">
      <c r="A1" s="57" t="s">
        <v>19</v>
      </c>
      <c r="B1" s="59" t="s">
        <v>20</v>
      </c>
    </row>
    <row r="2" spans="1:10" ht="60">
      <c r="A2" s="35" t="s">
        <v>21</v>
      </c>
      <c r="B2" s="46" t="s">
        <v>22</v>
      </c>
    </row>
    <row r="3" spans="1:10" ht="30">
      <c r="A3" s="52" t="s">
        <v>23</v>
      </c>
      <c r="B3" s="53" t="s">
        <v>64</v>
      </c>
    </row>
    <row r="4" spans="1:10" ht="30">
      <c r="A4" s="56" t="s">
        <v>24</v>
      </c>
      <c r="B4" s="53" t="s">
        <v>36</v>
      </c>
    </row>
    <row r="7" spans="1:10" ht="19.5" thickBot="1">
      <c r="A7" s="104" t="s">
        <v>25</v>
      </c>
      <c r="B7" s="105"/>
      <c r="C7" s="105"/>
      <c r="D7" s="105"/>
      <c r="E7" s="105"/>
      <c r="F7" s="105"/>
      <c r="G7" s="34"/>
      <c r="I7" s="29"/>
      <c r="J7" s="29"/>
    </row>
    <row r="8" spans="1:10" ht="45.75" thickTop="1">
      <c r="A8" s="47"/>
      <c r="B8" s="35" t="s">
        <v>26</v>
      </c>
      <c r="C8" s="35" t="s">
        <v>27</v>
      </c>
      <c r="D8" s="35" t="s">
        <v>28</v>
      </c>
      <c r="E8" s="35" t="s">
        <v>29</v>
      </c>
      <c r="F8" s="35" t="s">
        <v>30</v>
      </c>
      <c r="H8" s="33"/>
      <c r="I8" s="34"/>
      <c r="J8" s="29"/>
    </row>
    <row r="9" spans="1:10" ht="30">
      <c r="A9" s="48"/>
      <c r="B9" s="37" t="s">
        <v>39</v>
      </c>
      <c r="C9" s="72" t="s">
        <v>60</v>
      </c>
      <c r="D9" s="31" t="s">
        <v>37</v>
      </c>
      <c r="E9" s="73" t="s">
        <v>62</v>
      </c>
      <c r="F9" s="73" t="s">
        <v>35</v>
      </c>
      <c r="H9" s="33"/>
      <c r="I9" s="34"/>
      <c r="J9" s="29"/>
    </row>
    <row r="10" spans="1:10" ht="45">
      <c r="A10" s="71"/>
      <c r="B10" s="75" t="s">
        <v>40</v>
      </c>
      <c r="C10" s="72" t="s">
        <v>38</v>
      </c>
      <c r="D10" s="31" t="s">
        <v>37</v>
      </c>
      <c r="E10" s="73" t="s">
        <v>62</v>
      </c>
      <c r="F10" s="74" t="s">
        <v>35</v>
      </c>
      <c r="H10" s="33"/>
      <c r="I10" s="34"/>
      <c r="J10" s="29"/>
    </row>
    <row r="11" spans="1:10">
      <c r="A11" s="48"/>
      <c r="B11" s="37" t="s">
        <v>41</v>
      </c>
      <c r="C11" s="72" t="s">
        <v>35</v>
      </c>
      <c r="D11" s="31" t="s">
        <v>37</v>
      </c>
      <c r="E11" s="73" t="s">
        <v>62</v>
      </c>
      <c r="F11" s="74" t="s">
        <v>35</v>
      </c>
      <c r="H11" s="33"/>
      <c r="I11" s="34"/>
      <c r="J11" s="29"/>
    </row>
    <row r="12" spans="1:10">
      <c r="A12" s="48"/>
      <c r="B12" s="37" t="s">
        <v>42</v>
      </c>
      <c r="C12" s="72" t="s">
        <v>35</v>
      </c>
      <c r="D12" s="31" t="s">
        <v>37</v>
      </c>
      <c r="E12" s="73" t="s">
        <v>62</v>
      </c>
      <c r="F12" s="74" t="s">
        <v>35</v>
      </c>
      <c r="H12" s="33"/>
      <c r="I12" s="34"/>
      <c r="J12" s="29"/>
    </row>
    <row r="13" spans="1:10" ht="30">
      <c r="A13" s="48"/>
      <c r="B13" s="76" t="s">
        <v>47</v>
      </c>
      <c r="C13" s="72" t="s">
        <v>35</v>
      </c>
      <c r="D13" s="31" t="s">
        <v>37</v>
      </c>
      <c r="E13" s="73" t="s">
        <v>62</v>
      </c>
      <c r="F13" s="74" t="s">
        <v>35</v>
      </c>
      <c r="H13" s="33"/>
      <c r="I13" s="34"/>
      <c r="J13" s="29"/>
    </row>
    <row r="14" spans="1:10" ht="30">
      <c r="A14" s="48"/>
      <c r="B14" s="76" t="s">
        <v>50</v>
      </c>
      <c r="C14" s="72" t="s">
        <v>35</v>
      </c>
      <c r="D14" s="31" t="s">
        <v>37</v>
      </c>
      <c r="E14" s="73" t="s">
        <v>62</v>
      </c>
      <c r="F14" s="74" t="s">
        <v>35</v>
      </c>
      <c r="H14" s="33"/>
      <c r="I14" s="34"/>
      <c r="J14" s="29"/>
    </row>
    <row r="15" spans="1:10" ht="30">
      <c r="A15" s="48"/>
      <c r="B15" s="38" t="s">
        <v>53</v>
      </c>
      <c r="C15" s="72" t="s">
        <v>35</v>
      </c>
      <c r="D15" s="31" t="s">
        <v>37</v>
      </c>
      <c r="E15" s="73" t="s">
        <v>62</v>
      </c>
      <c r="F15" s="74" t="s">
        <v>35</v>
      </c>
      <c r="H15" s="33"/>
      <c r="I15" s="34"/>
      <c r="J15" s="29"/>
    </row>
    <row r="16" spans="1:10" ht="30">
      <c r="A16" s="48"/>
      <c r="B16" s="39" t="s">
        <v>54</v>
      </c>
      <c r="C16" s="72" t="s">
        <v>35</v>
      </c>
      <c r="D16" s="31" t="s">
        <v>37</v>
      </c>
      <c r="E16" s="73" t="s">
        <v>62</v>
      </c>
      <c r="F16" s="74" t="s">
        <v>35</v>
      </c>
      <c r="H16" s="33"/>
      <c r="I16" s="34"/>
      <c r="J16" s="29"/>
    </row>
    <row r="17" spans="1:10">
      <c r="A17" s="48"/>
      <c r="B17" s="39" t="s">
        <v>57</v>
      </c>
      <c r="C17" s="72" t="s">
        <v>35</v>
      </c>
      <c r="D17" s="31" t="s">
        <v>37</v>
      </c>
      <c r="E17" s="73" t="s">
        <v>62</v>
      </c>
      <c r="F17" s="74" t="s">
        <v>35</v>
      </c>
      <c r="H17" s="33"/>
      <c r="I17" s="34"/>
      <c r="J17" s="29"/>
    </row>
    <row r="18" spans="1:10" ht="30">
      <c r="A18" s="48"/>
      <c r="B18" s="38" t="s">
        <v>70</v>
      </c>
      <c r="C18" s="72" t="s">
        <v>61</v>
      </c>
      <c r="D18" s="31" t="s">
        <v>37</v>
      </c>
      <c r="E18" s="73" t="s">
        <v>62</v>
      </c>
      <c r="F18" s="74" t="s">
        <v>63</v>
      </c>
      <c r="H18" s="33"/>
      <c r="I18" s="34"/>
      <c r="J18" s="29"/>
    </row>
    <row r="19" spans="1:10">
      <c r="B19" s="30"/>
      <c r="C19" s="29"/>
      <c r="H19" s="33"/>
      <c r="I19" s="34"/>
      <c r="J19" s="29"/>
    </row>
    <row r="20" spans="1:10">
      <c r="B20" s="30"/>
      <c r="C20" s="29"/>
      <c r="H20" s="33"/>
      <c r="I20" s="34"/>
      <c r="J20" s="29"/>
    </row>
    <row r="21" spans="1:10">
      <c r="B21" s="30"/>
      <c r="C21" s="29"/>
      <c r="H21" s="33"/>
      <c r="I21" s="34"/>
      <c r="J21" s="29"/>
    </row>
    <row r="22" spans="1:10">
      <c r="B22" s="30"/>
      <c r="C22" s="29"/>
      <c r="H22" s="33"/>
      <c r="I22" s="34"/>
      <c r="J22" s="29"/>
    </row>
    <row r="23" spans="1:10">
      <c r="B23" s="30"/>
      <c r="C23" s="29"/>
      <c r="H23" s="33"/>
      <c r="I23" s="34"/>
      <c r="J23" s="29"/>
    </row>
    <row r="24" spans="1:10">
      <c r="B24" s="30"/>
      <c r="C24" s="29"/>
      <c r="H24" s="33"/>
      <c r="I24" s="34"/>
      <c r="J24" s="29"/>
    </row>
  </sheetData>
  <mergeCells count="1">
    <mergeCell ref="A7:F7"/>
  </mergeCells>
  <phoneticPr fontId="23" type="noConversion"/>
  <conditionalFormatting sqref="D9:D18">
    <cfRule type="cellIs" dxfId="23" priority="1" operator="equal">
      <formula>"Defecto"</formula>
    </cfRule>
    <cfRule type="cellIs" dxfId="22" priority="2" operator="equal">
      <formula>"Con Observaciones"</formula>
    </cfRule>
    <cfRule type="cellIs" dxfId="21" priority="3" operator="equal">
      <formula>"Correcto"</formula>
    </cfRule>
  </conditionalFormatting>
  <dataValidations count="1">
    <dataValidation type="list" allowBlank="1" showInputMessage="1" showErrorMessage="1" sqref="D9:D18" xr:uid="{00000000-0002-0000-0300-000000000000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7"/>
  <sheetViews>
    <sheetView showGridLines="0" topLeftCell="A18" zoomScale="95" zoomScaleNormal="95" workbookViewId="0">
      <selection activeCell="G23" sqref="G23"/>
    </sheetView>
  </sheetViews>
  <sheetFormatPr defaultColWidth="9.140625" defaultRowHeight="15"/>
  <cols>
    <col min="1" max="1" width="23.7109375" style="29" customWidth="1"/>
    <col min="2" max="2" width="41.28515625" style="29" customWidth="1"/>
    <col min="3" max="3" width="38.42578125" style="30" bestFit="1" customWidth="1"/>
    <col min="4" max="5" width="35.42578125" style="29" customWidth="1"/>
    <col min="6" max="6" width="22.85546875" style="29" customWidth="1"/>
    <col min="7" max="7" width="95.5703125" style="33" customWidth="1"/>
    <col min="8" max="8" width="53" style="34" customWidth="1"/>
    <col min="9" max="9" width="117.140625" style="29" customWidth="1"/>
    <col min="10" max="16384" width="9.140625" style="29"/>
  </cols>
  <sheetData>
    <row r="1" spans="1:8" ht="44.25" customHeight="1">
      <c r="A1" s="57" t="s">
        <v>31</v>
      </c>
      <c r="B1" s="106" t="s">
        <v>65</v>
      </c>
      <c r="C1" s="106"/>
      <c r="E1" s="45"/>
    </row>
    <row r="2" spans="1:8" ht="74.25" customHeight="1">
      <c r="A2" s="35" t="s">
        <v>21</v>
      </c>
      <c r="B2" s="78" t="s">
        <v>66</v>
      </c>
      <c r="C2" s="79" t="s">
        <v>67</v>
      </c>
      <c r="E2" s="60"/>
    </row>
    <row r="3" spans="1:8" ht="61.5" customHeight="1">
      <c r="A3" s="52" t="s">
        <v>23</v>
      </c>
      <c r="B3" s="53" t="s">
        <v>68</v>
      </c>
      <c r="C3" s="53" t="s">
        <v>68</v>
      </c>
      <c r="E3" s="60"/>
    </row>
    <row r="4" spans="1:8" ht="61.5" customHeight="1">
      <c r="A4" s="56" t="s">
        <v>24</v>
      </c>
      <c r="B4" s="53" t="s">
        <v>69</v>
      </c>
      <c r="C4" s="53" t="s">
        <v>36</v>
      </c>
      <c r="E4" s="60"/>
      <c r="F4" s="33"/>
    </row>
    <row r="5" spans="1:8" ht="79.5" customHeight="1">
      <c r="A5" s="54"/>
      <c r="B5" s="55"/>
      <c r="C5" s="50"/>
      <c r="E5" s="51"/>
      <c r="F5" s="51"/>
    </row>
    <row r="6" spans="1:8" ht="29.25" customHeight="1" thickBot="1">
      <c r="A6" s="104" t="s">
        <v>71</v>
      </c>
      <c r="B6" s="105"/>
      <c r="C6" s="105"/>
      <c r="D6" s="105"/>
      <c r="E6" s="105"/>
      <c r="F6" s="105"/>
    </row>
    <row r="7" spans="1:8" s="30" customFormat="1" ht="30.6" customHeight="1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8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  <c r="G8" s="29"/>
      <c r="H8" s="29"/>
    </row>
    <row r="9" spans="1:8" ht="45">
      <c r="A9" s="48"/>
      <c r="B9" s="37" t="s">
        <v>40</v>
      </c>
      <c r="C9" s="72" t="s">
        <v>38</v>
      </c>
      <c r="D9" s="31" t="s">
        <v>37</v>
      </c>
      <c r="E9" s="31" t="s">
        <v>72</v>
      </c>
      <c r="F9" s="73" t="s">
        <v>35</v>
      </c>
      <c r="G9" s="29"/>
      <c r="H9" s="29"/>
    </row>
    <row r="10" spans="1:8">
      <c r="A10" s="48"/>
      <c r="B10" s="37" t="s">
        <v>41</v>
      </c>
      <c r="C10" s="72" t="s">
        <v>35</v>
      </c>
      <c r="D10" s="31" t="s">
        <v>37</v>
      </c>
      <c r="E10" s="31" t="s">
        <v>73</v>
      </c>
      <c r="F10" s="73" t="s">
        <v>35</v>
      </c>
      <c r="G10" s="49"/>
      <c r="H10" s="29"/>
    </row>
    <row r="11" spans="1:8">
      <c r="A11" s="48"/>
      <c r="B11" s="37" t="s">
        <v>42</v>
      </c>
      <c r="C11" s="72" t="s">
        <v>35</v>
      </c>
      <c r="D11" s="31" t="s">
        <v>37</v>
      </c>
      <c r="E11" s="31" t="s">
        <v>73</v>
      </c>
      <c r="F11" s="73" t="s">
        <v>35</v>
      </c>
      <c r="G11" s="29"/>
      <c r="H11" s="29"/>
    </row>
    <row r="12" spans="1:8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  <c r="G12" s="29"/>
      <c r="H12" s="29"/>
    </row>
    <row r="13" spans="1:8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  <c r="G13" s="29"/>
      <c r="H13" s="29"/>
    </row>
    <row r="14" spans="1:8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  <c r="G14" s="29"/>
      <c r="H14" s="29"/>
    </row>
    <row r="15" spans="1:8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  <c r="G15" s="29"/>
      <c r="H15" s="29"/>
    </row>
    <row r="16" spans="1:8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  <c r="G16" s="34"/>
      <c r="H16" s="29"/>
    </row>
    <row r="17" spans="1:8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  <c r="G17" s="34"/>
      <c r="H17" s="29"/>
    </row>
    <row r="18" spans="1:8">
      <c r="B18" s="30"/>
      <c r="F18" s="33"/>
      <c r="G18" s="34"/>
      <c r="H18" s="29"/>
    </row>
    <row r="19" spans="1:8">
      <c r="B19" s="30"/>
      <c r="F19" s="33"/>
      <c r="G19" s="34"/>
      <c r="H19" s="29"/>
    </row>
    <row r="20" spans="1:8" ht="19.5" thickBot="1">
      <c r="A20" s="104" t="s">
        <v>74</v>
      </c>
      <c r="B20" s="105"/>
      <c r="C20" s="105"/>
      <c r="D20" s="105"/>
      <c r="E20" s="105"/>
      <c r="F20" s="105"/>
      <c r="G20" s="34"/>
      <c r="H20" s="29"/>
    </row>
    <row r="21" spans="1:8" ht="45.75" thickTop="1">
      <c r="A21" s="47"/>
      <c r="B21" s="35" t="s">
        <v>26</v>
      </c>
      <c r="C21" s="35" t="s">
        <v>27</v>
      </c>
      <c r="D21" s="35" t="s">
        <v>28</v>
      </c>
      <c r="E21" s="35" t="s">
        <v>29</v>
      </c>
      <c r="F21" s="35" t="s">
        <v>32</v>
      </c>
      <c r="G21" s="34"/>
      <c r="H21" s="29"/>
    </row>
    <row r="22" spans="1:8" ht="30">
      <c r="A22" s="48"/>
      <c r="B22" s="37" t="s">
        <v>39</v>
      </c>
      <c r="C22" s="72" t="s">
        <v>60</v>
      </c>
      <c r="D22" s="31" t="s">
        <v>37</v>
      </c>
      <c r="E22" s="31" t="s">
        <v>62</v>
      </c>
      <c r="F22" s="73" t="s">
        <v>35</v>
      </c>
      <c r="G22" s="34"/>
      <c r="H22" s="29"/>
    </row>
    <row r="23" spans="1:8" ht="45">
      <c r="A23" s="48"/>
      <c r="B23" s="37" t="s">
        <v>40</v>
      </c>
      <c r="C23" s="72" t="s">
        <v>38</v>
      </c>
      <c r="D23" s="31" t="s">
        <v>37</v>
      </c>
      <c r="E23" s="31" t="s">
        <v>72</v>
      </c>
      <c r="F23" s="73" t="s">
        <v>35</v>
      </c>
      <c r="G23" s="34"/>
      <c r="H23" s="29"/>
    </row>
    <row r="24" spans="1:8">
      <c r="A24" s="48"/>
      <c r="B24" s="37" t="s">
        <v>41</v>
      </c>
      <c r="C24" s="72" t="s">
        <v>35</v>
      </c>
      <c r="D24" s="31" t="s">
        <v>37</v>
      </c>
      <c r="E24" s="31" t="s">
        <v>73</v>
      </c>
      <c r="F24" s="73" t="s">
        <v>35</v>
      </c>
      <c r="G24" s="34"/>
      <c r="H24" s="29"/>
    </row>
    <row r="25" spans="1:8">
      <c r="A25" s="48"/>
      <c r="B25" s="37" t="s">
        <v>42</v>
      </c>
      <c r="C25" s="72" t="s">
        <v>35</v>
      </c>
      <c r="D25" s="31" t="s">
        <v>37</v>
      </c>
      <c r="E25" s="31" t="s">
        <v>73</v>
      </c>
      <c r="F25" s="73" t="s">
        <v>35</v>
      </c>
      <c r="G25" s="34"/>
      <c r="H25" s="29"/>
    </row>
    <row r="26" spans="1:8">
      <c r="A26" s="48"/>
      <c r="B26" s="76" t="s">
        <v>47</v>
      </c>
      <c r="C26" s="72" t="s">
        <v>35</v>
      </c>
      <c r="D26" s="31" t="s">
        <v>37</v>
      </c>
      <c r="E26" s="31" t="s">
        <v>73</v>
      </c>
      <c r="F26" s="73" t="s">
        <v>35</v>
      </c>
      <c r="G26" s="34"/>
      <c r="H26" s="29"/>
    </row>
    <row r="27" spans="1:8">
      <c r="A27" s="48"/>
      <c r="B27" s="76" t="s">
        <v>50</v>
      </c>
      <c r="C27" s="72" t="s">
        <v>35</v>
      </c>
      <c r="D27" s="31" t="s">
        <v>37</v>
      </c>
      <c r="E27" s="31" t="s">
        <v>73</v>
      </c>
      <c r="F27" s="73" t="s">
        <v>35</v>
      </c>
      <c r="G27" s="34"/>
      <c r="H27" s="29"/>
    </row>
    <row r="28" spans="1:8">
      <c r="A28" s="48"/>
      <c r="B28" s="38" t="s">
        <v>53</v>
      </c>
      <c r="C28" s="72" t="s">
        <v>35</v>
      </c>
      <c r="D28" s="31" t="s">
        <v>37</v>
      </c>
      <c r="E28" s="31" t="s">
        <v>73</v>
      </c>
      <c r="F28" s="73" t="s">
        <v>35</v>
      </c>
      <c r="G28" s="34"/>
      <c r="H28" s="29"/>
    </row>
    <row r="29" spans="1:8" ht="30">
      <c r="A29" s="48"/>
      <c r="B29" s="39" t="s">
        <v>54</v>
      </c>
      <c r="C29" s="72" t="s">
        <v>35</v>
      </c>
      <c r="D29" s="31" t="s">
        <v>37</v>
      </c>
      <c r="E29" s="31" t="s">
        <v>73</v>
      </c>
      <c r="F29" s="73" t="s">
        <v>35</v>
      </c>
      <c r="G29" s="34"/>
      <c r="H29" s="29"/>
    </row>
    <row r="30" spans="1:8">
      <c r="A30" s="48"/>
      <c r="B30" s="39" t="s">
        <v>57</v>
      </c>
      <c r="C30" s="72" t="s">
        <v>35</v>
      </c>
      <c r="D30" s="31" t="s">
        <v>37</v>
      </c>
      <c r="E30" s="31" t="s">
        <v>73</v>
      </c>
      <c r="F30" s="73" t="s">
        <v>35</v>
      </c>
      <c r="G30" s="34"/>
      <c r="H30" s="29"/>
    </row>
    <row r="31" spans="1:8">
      <c r="A31" s="48"/>
      <c r="B31" s="38" t="s">
        <v>70</v>
      </c>
      <c r="C31" s="72" t="s">
        <v>61</v>
      </c>
      <c r="D31" s="31" t="s">
        <v>37</v>
      </c>
      <c r="E31" s="31" t="s">
        <v>62</v>
      </c>
      <c r="F31" s="77" t="s">
        <v>63</v>
      </c>
      <c r="G31" s="34"/>
      <c r="H31" s="29"/>
    </row>
    <row r="32" spans="1:8">
      <c r="B32" s="30"/>
      <c r="F32" s="33"/>
      <c r="G32" s="34"/>
      <c r="H32" s="29"/>
    </row>
    <row r="33" spans="1:7">
      <c r="A33"/>
      <c r="B33"/>
      <c r="C33"/>
      <c r="E33"/>
      <c r="F33"/>
      <c r="G33"/>
    </row>
    <row r="34" spans="1:7">
      <c r="A34"/>
      <c r="B34"/>
      <c r="C34"/>
      <c r="E34"/>
      <c r="F34"/>
      <c r="G34"/>
    </row>
    <row r="35" spans="1:7">
      <c r="A35"/>
      <c r="B35"/>
      <c r="C35"/>
      <c r="E35"/>
      <c r="F35"/>
      <c r="G35"/>
    </row>
    <row r="36" spans="1:7">
      <c r="A36"/>
      <c r="B36"/>
      <c r="C36"/>
      <c r="E36"/>
      <c r="F36"/>
      <c r="G36"/>
    </row>
    <row r="37" spans="1:7">
      <c r="A37"/>
      <c r="B37"/>
      <c r="C37"/>
      <c r="E37"/>
      <c r="F37"/>
      <c r="G37"/>
    </row>
    <row r="38" spans="1:7">
      <c r="A38"/>
      <c r="B38"/>
      <c r="C38"/>
      <c r="E38"/>
      <c r="F38"/>
      <c r="G38"/>
    </row>
    <row r="39" spans="1:7">
      <c r="A39"/>
      <c r="B39"/>
      <c r="C39"/>
      <c r="E39"/>
      <c r="F39"/>
      <c r="G39"/>
    </row>
    <row r="40" spans="1:7">
      <c r="A40"/>
      <c r="B40"/>
      <c r="C40"/>
      <c r="E40"/>
      <c r="F40"/>
      <c r="G40"/>
    </row>
    <row r="41" spans="1:7">
      <c r="A41"/>
      <c r="B41"/>
      <c r="C41"/>
      <c r="E41"/>
      <c r="F41"/>
      <c r="G41"/>
    </row>
    <row r="42" spans="1:7">
      <c r="A42"/>
      <c r="B42"/>
      <c r="C42"/>
      <c r="E42"/>
      <c r="F42"/>
      <c r="G42"/>
    </row>
    <row r="43" spans="1:7">
      <c r="A43"/>
      <c r="B43"/>
      <c r="C43"/>
      <c r="E43"/>
      <c r="F43"/>
      <c r="G43"/>
    </row>
    <row r="44" spans="1:7">
      <c r="A44"/>
      <c r="B44"/>
      <c r="C44"/>
      <c r="E44"/>
      <c r="F44"/>
      <c r="G44"/>
    </row>
    <row r="45" spans="1:7">
      <c r="A45"/>
      <c r="B45"/>
      <c r="C45"/>
      <c r="E45"/>
      <c r="F45"/>
      <c r="G45"/>
    </row>
    <row r="46" spans="1:7">
      <c r="A46"/>
      <c r="B46"/>
      <c r="C46"/>
      <c r="E46"/>
      <c r="F46"/>
      <c r="G46"/>
    </row>
    <row r="47" spans="1:7">
      <c r="A47"/>
      <c r="B47"/>
      <c r="C47"/>
      <c r="E47"/>
      <c r="F47"/>
      <c r="G47"/>
    </row>
  </sheetData>
  <mergeCells count="3">
    <mergeCell ref="A6:F6"/>
    <mergeCell ref="B1:C1"/>
    <mergeCell ref="A20:F20"/>
  </mergeCells>
  <conditionalFormatting sqref="D8:E17">
    <cfRule type="cellIs" dxfId="20" priority="4" operator="equal">
      <formula>"Defecto"</formula>
    </cfRule>
    <cfRule type="cellIs" dxfId="19" priority="5" operator="equal">
      <formula>"Con Observaciones"</formula>
    </cfRule>
    <cfRule type="cellIs" dxfId="18" priority="6" operator="equal">
      <formula>"Correcto"</formula>
    </cfRule>
  </conditionalFormatting>
  <conditionalFormatting sqref="D22:E31">
    <cfRule type="cellIs" dxfId="17" priority="1" operator="equal">
      <formula>"Defecto"</formula>
    </cfRule>
    <cfRule type="cellIs" dxfId="16" priority="2" operator="equal">
      <formula>"Con Observaciones"</formula>
    </cfRule>
    <cfRule type="cellIs" dxfId="15" priority="3" operator="equal">
      <formula>"Correcto"</formula>
    </cfRule>
  </conditionalFormatting>
  <dataValidations count="1">
    <dataValidation type="list" allowBlank="1" showInputMessage="1" showErrorMessage="1" sqref="D8:D17 D22:D31" xr:uid="{E69C697D-701E-46A4-A01E-A9F08DF6732C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7"/>
  <sheetViews>
    <sheetView showGridLines="0" topLeftCell="D6" zoomScale="85" zoomScaleNormal="85" workbookViewId="0">
      <selection activeCell="E10" sqref="E10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58" t="s">
        <v>75</v>
      </c>
    </row>
    <row r="2" spans="1:6" ht="74.25" customHeight="1">
      <c r="A2" s="35" t="s">
        <v>21</v>
      </c>
      <c r="B2" s="61" t="s">
        <v>76</v>
      </c>
    </row>
    <row r="3" spans="1:6" ht="61.5" customHeight="1">
      <c r="A3" s="52" t="s">
        <v>23</v>
      </c>
      <c r="B3" s="53" t="s">
        <v>68</v>
      </c>
    </row>
    <row r="4" spans="1:6" ht="61.5" customHeight="1">
      <c r="A4" s="56" t="s">
        <v>24</v>
      </c>
      <c r="B4" s="53" t="s">
        <v>36</v>
      </c>
      <c r="C4" s="33"/>
    </row>
    <row r="6" spans="1:6" ht="19.5" thickBot="1">
      <c r="A6" s="104" t="s">
        <v>77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 ht="30">
      <c r="A10" s="48"/>
      <c r="B10" s="37" t="s">
        <v>41</v>
      </c>
      <c r="C10" s="72" t="s">
        <v>35</v>
      </c>
      <c r="D10" s="31" t="s">
        <v>37</v>
      </c>
      <c r="E10" s="31" t="s">
        <v>72</v>
      </c>
      <c r="F10" s="73" t="s">
        <v>35</v>
      </c>
    </row>
    <row r="11" spans="1:6">
      <c r="A11" s="48"/>
      <c r="B11" s="37" t="s">
        <v>42</v>
      </c>
      <c r="C11" s="72" t="s">
        <v>35</v>
      </c>
      <c r="D11" s="31" t="s">
        <v>37</v>
      </c>
      <c r="E11" s="31" t="s">
        <v>73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</row>
    <row r="13" spans="1:6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</row>
    <row r="17" spans="1:6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</sheetData>
  <mergeCells count="1">
    <mergeCell ref="A6:F6"/>
  </mergeCells>
  <conditionalFormatting sqref="D8:E17">
    <cfRule type="cellIs" dxfId="14" priority="1" operator="equal">
      <formula>"Defecto"</formula>
    </cfRule>
    <cfRule type="cellIs" dxfId="13" priority="2" operator="equal">
      <formula>"Con Observaciones"</formula>
    </cfRule>
    <cfRule type="cellIs" dxfId="12" priority="3" operator="equal">
      <formula>"Correcto"</formula>
    </cfRule>
  </conditionalFormatting>
  <dataValidations count="1">
    <dataValidation type="list" allowBlank="1" showInputMessage="1" showErrorMessage="1" sqref="D8:D17" xr:uid="{00000000-0002-0000-0700-000000000000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0561-6A16-409C-8DBA-95342D836A5D}">
  <sheetPr>
    <pageSetUpPr fitToPage="1"/>
  </sheetPr>
  <dimension ref="A1:F17"/>
  <sheetViews>
    <sheetView showGridLines="0" zoomScale="85" zoomScaleNormal="85" workbookViewId="0">
      <selection activeCell="C2" sqref="C2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58" t="s">
        <v>78</v>
      </c>
    </row>
    <row r="2" spans="1:6" ht="74.25" customHeight="1">
      <c r="A2" s="35" t="s">
        <v>21</v>
      </c>
      <c r="B2" s="61" t="s">
        <v>87</v>
      </c>
    </row>
    <row r="3" spans="1:6" ht="61.5" customHeight="1">
      <c r="A3" s="52" t="s">
        <v>23</v>
      </c>
      <c r="B3" s="53" t="s">
        <v>68</v>
      </c>
    </row>
    <row r="4" spans="1:6" ht="61.5" customHeight="1">
      <c r="A4" s="56" t="s">
        <v>24</v>
      </c>
      <c r="B4" s="53" t="s">
        <v>36</v>
      </c>
      <c r="C4" s="33"/>
    </row>
    <row r="6" spans="1:6" ht="19.5" thickBot="1">
      <c r="A6" s="104" t="s">
        <v>77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>
      <c r="A10" s="48"/>
      <c r="B10" s="37" t="s">
        <v>41</v>
      </c>
      <c r="C10" s="72" t="s">
        <v>35</v>
      </c>
      <c r="D10" s="31" t="s">
        <v>37</v>
      </c>
      <c r="E10" s="31" t="s">
        <v>62</v>
      </c>
      <c r="F10" s="73" t="s">
        <v>35</v>
      </c>
    </row>
    <row r="11" spans="1:6" ht="30">
      <c r="A11" s="48"/>
      <c r="B11" s="37" t="s">
        <v>42</v>
      </c>
      <c r="C11" s="72" t="s">
        <v>35</v>
      </c>
      <c r="D11" s="31" t="s">
        <v>37</v>
      </c>
      <c r="E11" s="31" t="s">
        <v>72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73</v>
      </c>
      <c r="F12" s="73" t="s">
        <v>35</v>
      </c>
    </row>
    <row r="13" spans="1:6">
      <c r="A13" s="48"/>
      <c r="B13" s="76" t="s">
        <v>50</v>
      </c>
      <c r="C13" s="72" t="s">
        <v>35</v>
      </c>
      <c r="D13" s="31" t="s">
        <v>37</v>
      </c>
      <c r="E13" s="31" t="s">
        <v>73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A15" s="48"/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73</v>
      </c>
      <c r="F16" s="73" t="s">
        <v>35</v>
      </c>
    </row>
    <row r="17" spans="1:6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</sheetData>
  <mergeCells count="1">
    <mergeCell ref="A6:F6"/>
  </mergeCells>
  <conditionalFormatting sqref="D8:E17">
    <cfRule type="cellIs" dxfId="11" priority="1" operator="equal">
      <formula>"Defecto"</formula>
    </cfRule>
    <cfRule type="cellIs" dxfId="10" priority="2" operator="equal">
      <formula>"Con Observaciones"</formula>
    </cfRule>
    <cfRule type="cellIs" dxfId="9" priority="3" operator="equal">
      <formula>"Correcto"</formula>
    </cfRule>
  </conditionalFormatting>
  <dataValidations count="1">
    <dataValidation type="list" allowBlank="1" showInputMessage="1" showErrorMessage="1" sqref="D8:D17" xr:uid="{30963EE2-42D2-47FA-8B14-F6CD3BD26E85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8DED-4EE5-443E-B766-0E18CB79CBF3}">
  <sheetPr>
    <pageSetUpPr fitToPage="1"/>
  </sheetPr>
  <dimension ref="A1:G59"/>
  <sheetViews>
    <sheetView showGridLines="0" zoomScale="85" zoomScaleNormal="85" workbookViewId="0">
      <selection activeCell="F2" sqref="F2"/>
    </sheetView>
  </sheetViews>
  <sheetFormatPr defaultColWidth="9.140625" defaultRowHeight="15"/>
  <cols>
    <col min="1" max="1" width="23.7109375" style="29" customWidth="1"/>
    <col min="2" max="2" width="42.140625" style="29" customWidth="1"/>
    <col min="3" max="3" width="30.5703125" style="29" bestFit="1" customWidth="1"/>
    <col min="4" max="4" width="45.140625" style="33" bestFit="1" customWidth="1"/>
    <col min="5" max="5" width="44.28515625" style="33" bestFit="1" customWidth="1"/>
    <col min="6" max="6" width="28.5703125" style="34" bestFit="1" customWidth="1"/>
    <col min="7" max="7" width="117.140625" style="29" customWidth="1"/>
    <col min="8" max="16384" width="9.140625" style="29"/>
  </cols>
  <sheetData>
    <row r="1" spans="1:6" ht="44.25" customHeight="1">
      <c r="A1" s="57" t="s">
        <v>33</v>
      </c>
      <c r="B1" s="106" t="s">
        <v>79</v>
      </c>
      <c r="C1" s="106"/>
      <c r="D1" s="106"/>
    </row>
    <row r="2" spans="1:6" ht="74.25" customHeight="1">
      <c r="A2" s="35" t="s">
        <v>21</v>
      </c>
      <c r="B2" s="80" t="s">
        <v>80</v>
      </c>
      <c r="C2" s="81" t="s">
        <v>81</v>
      </c>
      <c r="D2" s="81" t="s">
        <v>82</v>
      </c>
    </row>
    <row r="3" spans="1:6" ht="61.5" customHeight="1">
      <c r="A3" s="52" t="s">
        <v>23</v>
      </c>
      <c r="B3" s="53" t="s">
        <v>68</v>
      </c>
      <c r="C3" s="53" t="s">
        <v>68</v>
      </c>
      <c r="D3" s="53" t="s">
        <v>68</v>
      </c>
    </row>
    <row r="4" spans="1:6" ht="61.5" customHeight="1">
      <c r="A4" s="56" t="s">
        <v>24</v>
      </c>
      <c r="B4" s="53" t="s">
        <v>36</v>
      </c>
      <c r="C4" s="53" t="s">
        <v>36</v>
      </c>
      <c r="D4" s="53" t="s">
        <v>36</v>
      </c>
    </row>
    <row r="6" spans="1:6" ht="19.5" thickBot="1">
      <c r="A6" s="104" t="s">
        <v>83</v>
      </c>
      <c r="B6" s="105"/>
      <c r="C6" s="105"/>
      <c r="D6" s="105"/>
      <c r="E6" s="105"/>
      <c r="F6" s="105"/>
    </row>
    <row r="7" spans="1:6" ht="30.75" thickTop="1">
      <c r="A7" s="47"/>
      <c r="B7" s="35" t="s">
        <v>26</v>
      </c>
      <c r="C7" s="35" t="s">
        <v>27</v>
      </c>
      <c r="D7" s="35" t="s">
        <v>28</v>
      </c>
      <c r="E7" s="35" t="s">
        <v>29</v>
      </c>
      <c r="F7" s="35" t="s">
        <v>32</v>
      </c>
    </row>
    <row r="8" spans="1:6" ht="30">
      <c r="A8" s="48"/>
      <c r="B8" s="37" t="s">
        <v>39</v>
      </c>
      <c r="C8" s="72" t="s">
        <v>60</v>
      </c>
      <c r="D8" s="31" t="s">
        <v>37</v>
      </c>
      <c r="E8" s="31" t="s">
        <v>62</v>
      </c>
      <c r="F8" s="73" t="s">
        <v>35</v>
      </c>
    </row>
    <row r="9" spans="1:6" ht="30">
      <c r="A9" s="48"/>
      <c r="B9" s="37" t="s">
        <v>40</v>
      </c>
      <c r="C9" s="72" t="s">
        <v>38</v>
      </c>
      <c r="D9" s="31" t="s">
        <v>37</v>
      </c>
      <c r="E9" s="31" t="s">
        <v>62</v>
      </c>
      <c r="F9" s="73" t="s">
        <v>35</v>
      </c>
    </row>
    <row r="10" spans="1:6">
      <c r="B10" s="37" t="s">
        <v>41</v>
      </c>
      <c r="C10" s="72" t="s">
        <v>35</v>
      </c>
      <c r="D10" s="31" t="s">
        <v>37</v>
      </c>
      <c r="E10" s="31" t="s">
        <v>62</v>
      </c>
      <c r="F10" s="73" t="s">
        <v>35</v>
      </c>
    </row>
    <row r="11" spans="1:6">
      <c r="A11" s="48"/>
      <c r="B11" s="37" t="s">
        <v>42</v>
      </c>
      <c r="C11" s="72" t="s">
        <v>35</v>
      </c>
      <c r="D11" s="31" t="s">
        <v>37</v>
      </c>
      <c r="E11" s="31" t="s">
        <v>62</v>
      </c>
      <c r="F11" s="73" t="s">
        <v>35</v>
      </c>
    </row>
    <row r="12" spans="1:6">
      <c r="A12" s="48"/>
      <c r="B12" s="76" t="s">
        <v>47</v>
      </c>
      <c r="C12" s="72" t="s">
        <v>35</v>
      </c>
      <c r="D12" s="31" t="s">
        <v>37</v>
      </c>
      <c r="E12" s="31" t="s">
        <v>62</v>
      </c>
      <c r="F12" s="73" t="s">
        <v>35</v>
      </c>
    </row>
    <row r="13" spans="1:6" ht="30">
      <c r="A13" s="48"/>
      <c r="B13" s="76" t="s">
        <v>50</v>
      </c>
      <c r="C13" s="72" t="s">
        <v>35</v>
      </c>
      <c r="D13" s="31" t="s">
        <v>37</v>
      </c>
      <c r="E13" s="31" t="s">
        <v>72</v>
      </c>
      <c r="F13" s="73" t="s">
        <v>35</v>
      </c>
    </row>
    <row r="14" spans="1:6">
      <c r="A14" s="48"/>
      <c r="B14" s="38" t="s">
        <v>53</v>
      </c>
      <c r="C14" s="72" t="s">
        <v>35</v>
      </c>
      <c r="D14" s="31" t="s">
        <v>37</v>
      </c>
      <c r="E14" s="31" t="s">
        <v>73</v>
      </c>
      <c r="F14" s="73" t="s">
        <v>35</v>
      </c>
    </row>
    <row r="15" spans="1:6" ht="30">
      <c r="B15" s="39" t="s">
        <v>54</v>
      </c>
      <c r="C15" s="72" t="s">
        <v>35</v>
      </c>
      <c r="D15" s="31" t="s">
        <v>37</v>
      </c>
      <c r="E15" s="31" t="s">
        <v>73</v>
      </c>
      <c r="F15" s="73" t="s">
        <v>35</v>
      </c>
    </row>
    <row r="16" spans="1:6">
      <c r="A16" s="48"/>
      <c r="B16" s="39" t="s">
        <v>57</v>
      </c>
      <c r="C16" s="72" t="s">
        <v>35</v>
      </c>
      <c r="D16" s="31" t="s">
        <v>37</v>
      </c>
      <c r="E16" s="31" t="s">
        <v>62</v>
      </c>
      <c r="F16" s="73" t="s">
        <v>35</v>
      </c>
    </row>
    <row r="17" spans="1:7">
      <c r="A17" s="48"/>
      <c r="B17" s="38" t="s">
        <v>70</v>
      </c>
      <c r="C17" s="72" t="s">
        <v>61</v>
      </c>
      <c r="D17" s="31" t="s">
        <v>37</v>
      </c>
      <c r="E17" s="31" t="s">
        <v>62</v>
      </c>
      <c r="F17" s="77" t="s">
        <v>63</v>
      </c>
    </row>
    <row r="21" spans="1:7" ht="19.5" thickBot="1">
      <c r="A21" s="104" t="s">
        <v>84</v>
      </c>
      <c r="B21" s="105"/>
      <c r="C21" s="105"/>
      <c r="D21" s="105"/>
      <c r="E21" s="105"/>
      <c r="F21" s="105"/>
    </row>
    <row r="22" spans="1:7" ht="30.75" thickTop="1">
      <c r="A22" s="47"/>
      <c r="B22" s="35" t="s">
        <v>26</v>
      </c>
      <c r="C22" s="35" t="s">
        <v>27</v>
      </c>
      <c r="D22" s="35" t="s">
        <v>28</v>
      </c>
      <c r="E22" s="35" t="s">
        <v>29</v>
      </c>
      <c r="F22" s="35" t="s">
        <v>32</v>
      </c>
    </row>
    <row r="23" spans="1:7" ht="30">
      <c r="A23" s="48"/>
      <c r="B23" s="37" t="s">
        <v>39</v>
      </c>
      <c r="C23" s="72" t="s">
        <v>60</v>
      </c>
      <c r="D23" s="31" t="s">
        <v>37</v>
      </c>
      <c r="E23" s="31" t="s">
        <v>62</v>
      </c>
      <c r="F23" s="73" t="s">
        <v>35</v>
      </c>
    </row>
    <row r="24" spans="1:7" ht="30">
      <c r="A24" s="48"/>
      <c r="B24" s="37" t="s">
        <v>40</v>
      </c>
      <c r="C24" s="72" t="s">
        <v>38</v>
      </c>
      <c r="D24" s="31" t="s">
        <v>37</v>
      </c>
      <c r="E24" s="31" t="s">
        <v>62</v>
      </c>
      <c r="F24" s="73" t="s">
        <v>35</v>
      </c>
    </row>
    <row r="25" spans="1:7">
      <c r="B25" s="37" t="s">
        <v>41</v>
      </c>
      <c r="C25" s="72" t="s">
        <v>35</v>
      </c>
      <c r="D25" s="31" t="s">
        <v>37</v>
      </c>
      <c r="E25" s="31" t="s">
        <v>62</v>
      </c>
      <c r="F25" s="73" t="s">
        <v>35</v>
      </c>
      <c r="G25" s="29" t="s">
        <v>85</v>
      </c>
    </row>
    <row r="26" spans="1:7">
      <c r="A26" s="48"/>
      <c r="B26" s="37" t="s">
        <v>42</v>
      </c>
      <c r="C26" s="72" t="s">
        <v>35</v>
      </c>
      <c r="D26" s="31" t="s">
        <v>37</v>
      </c>
      <c r="E26" s="31" t="s">
        <v>62</v>
      </c>
      <c r="F26" s="73" t="s">
        <v>35</v>
      </c>
    </row>
    <row r="27" spans="1:7">
      <c r="A27" s="48"/>
      <c r="B27" s="76" t="s">
        <v>47</v>
      </c>
      <c r="C27" s="72" t="s">
        <v>35</v>
      </c>
      <c r="D27" s="31" t="s">
        <v>37</v>
      </c>
      <c r="E27" s="31" t="s">
        <v>62</v>
      </c>
      <c r="F27" s="73" t="s">
        <v>35</v>
      </c>
    </row>
    <row r="28" spans="1:7" ht="30">
      <c r="A28" s="48"/>
      <c r="B28" s="76" t="s">
        <v>50</v>
      </c>
      <c r="C28" s="72" t="s">
        <v>35</v>
      </c>
      <c r="D28" s="31" t="s">
        <v>37</v>
      </c>
      <c r="E28" s="31" t="s">
        <v>72</v>
      </c>
      <c r="F28" s="73" t="s">
        <v>35</v>
      </c>
    </row>
    <row r="29" spans="1:7">
      <c r="A29" s="48"/>
      <c r="B29" s="38" t="s">
        <v>53</v>
      </c>
      <c r="C29" s="72" t="s">
        <v>35</v>
      </c>
      <c r="D29" s="31" t="s">
        <v>37</v>
      </c>
      <c r="E29" s="31" t="s">
        <v>73</v>
      </c>
      <c r="F29" s="73" t="s">
        <v>35</v>
      </c>
    </row>
    <row r="30" spans="1:7" ht="30">
      <c r="B30" s="39" t="s">
        <v>54</v>
      </c>
      <c r="C30" s="72" t="s">
        <v>35</v>
      </c>
      <c r="D30" s="31" t="s">
        <v>37</v>
      </c>
      <c r="E30" s="31" t="s">
        <v>73</v>
      </c>
      <c r="F30" s="73" t="s">
        <v>35</v>
      </c>
    </row>
    <row r="31" spans="1:7">
      <c r="A31" s="48"/>
      <c r="B31" s="39" t="s">
        <v>57</v>
      </c>
      <c r="C31" s="72" t="s">
        <v>35</v>
      </c>
      <c r="D31" s="31" t="s">
        <v>37</v>
      </c>
      <c r="E31" s="31" t="s">
        <v>62</v>
      </c>
      <c r="F31" s="73" t="s">
        <v>35</v>
      </c>
    </row>
    <row r="32" spans="1:7">
      <c r="A32" s="48"/>
      <c r="B32" s="38" t="s">
        <v>70</v>
      </c>
      <c r="C32" s="72" t="s">
        <v>61</v>
      </c>
      <c r="D32" s="31" t="s">
        <v>37</v>
      </c>
      <c r="E32" s="31" t="s">
        <v>62</v>
      </c>
      <c r="F32" s="77" t="s">
        <v>63</v>
      </c>
    </row>
    <row r="35" spans="1:6" ht="19.5" thickBot="1">
      <c r="A35" s="104" t="s">
        <v>86</v>
      </c>
      <c r="B35" s="105"/>
      <c r="C35" s="105"/>
      <c r="D35" s="105"/>
      <c r="E35" s="105"/>
      <c r="F35" s="105"/>
    </row>
    <row r="36" spans="1:6" ht="30.75" thickTop="1">
      <c r="A36" s="47"/>
      <c r="B36" s="35" t="s">
        <v>26</v>
      </c>
      <c r="C36" s="35" t="s">
        <v>27</v>
      </c>
      <c r="D36" s="35" t="s">
        <v>28</v>
      </c>
      <c r="E36" s="35" t="s">
        <v>29</v>
      </c>
      <c r="F36" s="35" t="s">
        <v>32</v>
      </c>
    </row>
    <row r="37" spans="1:6" ht="30">
      <c r="A37" s="48"/>
      <c r="B37" s="37" t="s">
        <v>39</v>
      </c>
      <c r="C37" s="72" t="s">
        <v>60</v>
      </c>
      <c r="D37" s="31" t="s">
        <v>37</v>
      </c>
      <c r="E37" s="31" t="s">
        <v>62</v>
      </c>
      <c r="F37" s="73" t="s">
        <v>35</v>
      </c>
    </row>
    <row r="38" spans="1:6" ht="30">
      <c r="A38" s="48"/>
      <c r="B38" s="37" t="s">
        <v>40</v>
      </c>
      <c r="C38" s="72" t="s">
        <v>38</v>
      </c>
      <c r="D38" s="31" t="s">
        <v>37</v>
      </c>
      <c r="E38" s="31" t="s">
        <v>62</v>
      </c>
      <c r="F38" s="73" t="s">
        <v>35</v>
      </c>
    </row>
    <row r="39" spans="1:6">
      <c r="B39" s="37" t="s">
        <v>41</v>
      </c>
      <c r="C39" s="72" t="s">
        <v>35</v>
      </c>
      <c r="D39" s="31" t="s">
        <v>37</v>
      </c>
      <c r="E39" s="31" t="s">
        <v>62</v>
      </c>
      <c r="F39" s="73" t="s">
        <v>35</v>
      </c>
    </row>
    <row r="40" spans="1:6">
      <c r="A40" s="48"/>
      <c r="B40" s="37" t="s">
        <v>42</v>
      </c>
      <c r="C40" s="72" t="s">
        <v>35</v>
      </c>
      <c r="D40" s="31" t="s">
        <v>37</v>
      </c>
      <c r="E40" s="31" t="s">
        <v>62</v>
      </c>
      <c r="F40" s="73" t="s">
        <v>35</v>
      </c>
    </row>
    <row r="41" spans="1:6">
      <c r="A41" s="48"/>
      <c r="B41" s="76" t="s">
        <v>47</v>
      </c>
      <c r="C41" s="72" t="s">
        <v>35</v>
      </c>
      <c r="D41" s="31" t="s">
        <v>37</v>
      </c>
      <c r="E41" s="31" t="s">
        <v>62</v>
      </c>
      <c r="F41" s="73" t="s">
        <v>35</v>
      </c>
    </row>
    <row r="42" spans="1:6">
      <c r="A42" s="48"/>
      <c r="B42" s="76" t="s">
        <v>50</v>
      </c>
      <c r="C42" s="72" t="s">
        <v>35</v>
      </c>
      <c r="D42" s="31" t="s">
        <v>37</v>
      </c>
      <c r="E42" s="31" t="s">
        <v>62</v>
      </c>
      <c r="F42" s="73" t="s">
        <v>35</v>
      </c>
    </row>
    <row r="43" spans="1:6">
      <c r="A43" s="48"/>
      <c r="B43" s="38" t="s">
        <v>53</v>
      </c>
      <c r="C43" s="72" t="s">
        <v>35</v>
      </c>
      <c r="D43" s="31" t="s">
        <v>37</v>
      </c>
      <c r="E43" s="31" t="s">
        <v>62</v>
      </c>
      <c r="F43" s="73" t="s">
        <v>35</v>
      </c>
    </row>
    <row r="44" spans="1:6" ht="30">
      <c r="B44" s="39" t="s">
        <v>54</v>
      </c>
      <c r="C44" s="72" t="s">
        <v>35</v>
      </c>
      <c r="D44" s="31" t="s">
        <v>37</v>
      </c>
      <c r="E44" s="31" t="s">
        <v>72</v>
      </c>
      <c r="F44" s="73" t="s">
        <v>35</v>
      </c>
    </row>
    <row r="45" spans="1:6">
      <c r="A45" s="48"/>
      <c r="B45" s="39" t="s">
        <v>57</v>
      </c>
      <c r="C45" s="72" t="s">
        <v>35</v>
      </c>
      <c r="D45" s="31" t="s">
        <v>37</v>
      </c>
      <c r="E45" s="31" t="s">
        <v>62</v>
      </c>
      <c r="F45" s="73" t="s">
        <v>35</v>
      </c>
    </row>
    <row r="46" spans="1:6">
      <c r="A46" s="48"/>
      <c r="B46" s="38" t="s">
        <v>70</v>
      </c>
      <c r="C46" s="72" t="s">
        <v>61</v>
      </c>
      <c r="D46" s="31" t="s">
        <v>37</v>
      </c>
      <c r="E46" s="31" t="s">
        <v>62</v>
      </c>
      <c r="F46" s="77" t="s">
        <v>63</v>
      </c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  <row r="55" spans="1:6">
      <c r="A55"/>
      <c r="B55"/>
      <c r="C55"/>
      <c r="D55"/>
      <c r="E55"/>
      <c r="F55"/>
    </row>
    <row r="56" spans="1:6">
      <c r="A56"/>
      <c r="B56"/>
      <c r="C56"/>
      <c r="D56"/>
      <c r="E56"/>
      <c r="F56"/>
    </row>
    <row r="57" spans="1:6">
      <c r="A57"/>
      <c r="B57"/>
      <c r="C57"/>
      <c r="D57"/>
      <c r="E57"/>
      <c r="F57"/>
    </row>
    <row r="58" spans="1:6">
      <c r="A58"/>
      <c r="B58"/>
      <c r="C58"/>
      <c r="D58"/>
      <c r="E58"/>
      <c r="F58"/>
    </row>
    <row r="59" spans="1:6">
      <c r="A59"/>
      <c r="B59"/>
      <c r="C59"/>
      <c r="D59"/>
      <c r="E59"/>
      <c r="F59"/>
    </row>
  </sheetData>
  <mergeCells count="4">
    <mergeCell ref="A6:F6"/>
    <mergeCell ref="B1:D1"/>
    <mergeCell ref="A21:F21"/>
    <mergeCell ref="A35:F35"/>
  </mergeCells>
  <conditionalFormatting sqref="D8:E17">
    <cfRule type="cellIs" dxfId="8" priority="7" operator="equal">
      <formula>"Defecto"</formula>
    </cfRule>
    <cfRule type="cellIs" dxfId="7" priority="8" operator="equal">
      <formula>"Con Observaciones"</formula>
    </cfRule>
    <cfRule type="cellIs" dxfId="6" priority="9" operator="equal">
      <formula>"Correcto"</formula>
    </cfRule>
  </conditionalFormatting>
  <conditionalFormatting sqref="D23:E32">
    <cfRule type="cellIs" dxfId="5" priority="10" operator="equal">
      <formula>"Defecto"</formula>
    </cfRule>
    <cfRule type="cellIs" dxfId="4" priority="11" operator="equal">
      <formula>"Con Observaciones"</formula>
    </cfRule>
    <cfRule type="cellIs" dxfId="3" priority="12" operator="equal">
      <formula>"Correcto"</formula>
    </cfRule>
  </conditionalFormatting>
  <conditionalFormatting sqref="D37:E46">
    <cfRule type="cellIs" dxfId="2" priority="13" operator="equal">
      <formula>"Defecto"</formula>
    </cfRule>
    <cfRule type="cellIs" dxfId="1" priority="14" operator="equal">
      <formula>"Con Observaciones"</formula>
    </cfRule>
    <cfRule type="cellIs" dxfId="0" priority="15" operator="equal">
      <formula>"Correcto"</formula>
    </cfRule>
  </conditionalFormatting>
  <dataValidations count="1">
    <dataValidation type="list" allowBlank="1" showInputMessage="1" showErrorMessage="1" sqref="D8:D17 D23:D32 D37:D46" xr:uid="{72BBF813-23F1-4114-B465-E25AB4A5C22A}">
      <formula1>"Correcto,Con Observaciones,Defecto"</formula1>
    </dataValidation>
  </dataValidations>
  <pageMargins left="0.70866141732283472" right="0.70866141732283472" top="0.74803149606299213" bottom="0.74803149606299213" header="0.31496062992125984" footer="0.31496062992125984"/>
  <pageSetup scale="25" fitToHeight="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P31" sqref="P31"/>
    </sheetView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9733af-7a48-497e-be4f-98a48d8b296c">
      <Terms xmlns="http://schemas.microsoft.com/office/infopath/2007/PartnerControls"/>
    </lcf76f155ced4ddcb4097134ff3c332f>
    <TaxCatchAll xmlns="126aced9-e92e-431b-8860-19f9000349a9" xsi:nil="true"/>
    <Progress_x0020__x0025_ xmlns="126aced9-e92e-431b-8860-19f9000349a9" xsi:nil="true"/>
    <Target_x0020_Date xmlns="126aced9-e92e-431b-8860-19f9000349a9" xsi:nil="true"/>
    <Document_x0020_Type xmlns="126aced9-e92e-431b-8860-19f9000349a9">Choose Document Type…</Document_x0020_Typ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5E40AF5AAB644388956D1EDB5811C4" ma:contentTypeVersion="" ma:contentTypeDescription="Create a new document." ma:contentTypeScope="" ma:versionID="eb9d285613b0b7fd252419e165da78ff">
  <xsd:schema xmlns:xsd="http://www.w3.org/2001/XMLSchema" xmlns:xs="http://www.w3.org/2001/XMLSchema" xmlns:p="http://schemas.microsoft.com/office/2006/metadata/properties" xmlns:ns2="126aced9-e92e-431b-8860-19f9000349a9" xmlns:ns3="7c9733af-7a48-497e-be4f-98a48d8b296c" xmlns:ns4="e692d05a-8f3f-4f3c-9f7a-297d33913966" targetNamespace="http://schemas.microsoft.com/office/2006/metadata/properties" ma:root="true" ma:fieldsID="5804f93a32e9328b48f081a9ad710d90" ns2:_="" ns3:_="" ns4:_="">
    <xsd:import namespace="126aced9-e92e-431b-8860-19f9000349a9"/>
    <xsd:import namespace="7c9733af-7a48-497e-be4f-98a48d8b296c"/>
    <xsd:import namespace="e692d05a-8f3f-4f3c-9f7a-297d33913966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Progress_x0020__x0025_" minOccurs="0"/>
                <xsd:element ref="ns2:Target_x0020_Date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aced9-e92e-431b-8860-19f9000349a9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default="Choose Document Type…" ma:format="Dropdown" ma:internalName="Document_x0020_Type">
      <xsd:simpleType>
        <xsd:union memberTypes="dms:Text">
          <xsd:simpleType>
            <xsd:restriction base="dms:Choice">
              <xsd:enumeration value="Choose Document Type…"/>
              <xsd:enumeration value="Deliverable"/>
              <xsd:enumeration value="Meeting Minute"/>
              <xsd:enumeration value="Status Report"/>
              <xsd:enumeration value="Test Script"/>
              <xsd:enumeration value="Training Document"/>
              <xsd:enumeration value="Other"/>
            </xsd:restriction>
          </xsd:simpleType>
        </xsd:union>
      </xsd:simpleType>
    </xsd:element>
    <xsd:element name="Progress_x0020__x0025_" ma:index="9" nillable="true" ma:displayName="Progress %" ma:decimals="0" ma:description="Percentage of document progress to completion" ma:internalName="Progress_x0020__x0025_" ma:percentage="TRUE">
      <xsd:simpleType>
        <xsd:restriction base="dms:Number">
          <xsd:maxInclusive value="1.00"/>
          <xsd:minInclusive value=".00"/>
        </xsd:restriction>
      </xsd:simpleType>
    </xsd:element>
    <xsd:element name="Target_x0020_Date" ma:index="10" nillable="true" ma:displayName="Target Date" ma:description="Target Date to Deliver the document" ma:format="DateOnly" ma:internalName="Target_x0020_Date">
      <xsd:simpleType>
        <xsd:restriction base="dms:DateTime"/>
      </xsd:simpleType>
    </xsd:element>
    <xsd:element name="TaxCatchAll" ma:index="23" nillable="true" ma:displayName="Taxonomy Catch All Column" ma:hidden="true" ma:list="{f3972870-c610-4b27-8e21-2f717d82e7c0}" ma:internalName="TaxCatchAll" ma:showField="CatchAllData" ma:web="126aced9-e92e-431b-8860-19f900034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33af-7a48-497e-be4f-98a48d8b2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670174f-237a-485b-85fe-ddcae2588d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2d05a-8f3f-4f3c-9f7a-297d339139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E0A40-C79F-4A6A-A9FF-1CD503EAC314}">
  <ds:schemaRefs>
    <ds:schemaRef ds:uri="7c9733af-7a48-497e-be4f-98a48d8b296c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e692d05a-8f3f-4f3c-9f7a-297d33913966"/>
    <ds:schemaRef ds:uri="126aced9-e92e-431b-8860-19f9000349a9"/>
  </ds:schemaRefs>
</ds:datastoreItem>
</file>

<file path=customXml/itemProps2.xml><?xml version="1.0" encoding="utf-8"?>
<ds:datastoreItem xmlns:ds="http://schemas.openxmlformats.org/officeDocument/2006/customXml" ds:itemID="{A954DA16-301D-4F66-86F6-AB13CE7717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1ED37-F143-49EC-B2EF-702442C85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aced9-e92e-431b-8860-19f9000349a9"/>
    <ds:schemaRef ds:uri="7c9733af-7a48-497e-be4f-98a48d8b296c"/>
    <ds:schemaRef ds:uri="e692d05a-8f3f-4f3c-9f7a-297d339139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Cover</vt:lpstr>
      <vt:lpstr>Doc Info</vt:lpstr>
      <vt:lpstr>Descripción del proceso</vt:lpstr>
      <vt:lpstr>Escenario 1</vt:lpstr>
      <vt:lpstr>Log 1</vt:lpstr>
      <vt:lpstr>Escenario 2</vt:lpstr>
      <vt:lpstr>Log 2</vt:lpstr>
      <vt:lpstr>Escenario 3</vt:lpstr>
      <vt:lpstr>Log 3</vt:lpstr>
      <vt:lpstr>Escenario 4</vt:lpstr>
      <vt:lpstr>Escenario 5</vt:lpstr>
      <vt:lpstr>CodeReview</vt:lpstr>
      <vt:lpstr>'Doc Info'!Print_Area</vt:lpstr>
      <vt:lpstr>'Escenario 2'!Print_Area</vt:lpstr>
      <vt:lpstr>'Escenario 2'!Print_Titles</vt:lpstr>
    </vt:vector>
  </TitlesOfParts>
  <Manager/>
  <Company>Ataway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QML</dc:creator>
  <cp:keywords/>
  <dc:description/>
  <cp:lastModifiedBy>Matias Vidaurre</cp:lastModifiedBy>
  <cp:revision/>
  <dcterms:created xsi:type="dcterms:W3CDTF">2015-01-07T19:33:23Z</dcterms:created>
  <dcterms:modified xsi:type="dcterms:W3CDTF">2026-04-28T18:57:34Z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15157600</vt:r8>
  </property>
  <property fmtid="{D5CDD505-2E9C-101B-9397-08002B2CF9AE}" pid="3" name="xd_Signature">
    <vt:lpwstr/>
  </property>
  <property fmtid="{D5CDD505-2E9C-101B-9397-08002B2CF9AE}" pid="4" name="xd_ProgID">
    <vt:lpwstr/>
  </property>
  <property fmtid="{D5CDD505-2E9C-101B-9397-08002B2CF9AE}" pid="5" name="ContentTypeId">
    <vt:lpwstr>0x0101003E5E40AF5AAB644388956D1EDB5811C4</vt:lpwstr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